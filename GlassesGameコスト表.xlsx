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yato Terao\Documents\GitHub\GlassesGame\"/>
    </mc:Choice>
  </mc:AlternateContent>
  <xr:revisionPtr revIDLastSave="0" documentId="13_ncr:1_{42A54CC1-F6DA-42CA-86F4-0C75841C535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8" i="6" l="1"/>
  <c r="E18" i="6"/>
  <c r="E15" i="6"/>
  <c r="E12" i="6"/>
  <c r="E10" i="6"/>
  <c r="F15" i="6"/>
  <c r="F12" i="6"/>
  <c r="F7" i="6"/>
  <c r="F6" i="6" s="1"/>
  <c r="F5" i="6" s="1"/>
  <c r="F4" i="6" s="1"/>
  <c r="F3" i="6" s="1"/>
  <c r="E7" i="6"/>
  <c r="E5" i="6"/>
  <c r="E3" i="6"/>
  <c r="K3" i="6"/>
  <c r="L6" i="6" s="1"/>
  <c r="J2" i="5"/>
  <c r="K3" i="5" s="1"/>
  <c r="F14" i="5"/>
  <c r="F20" i="5"/>
  <c r="E20" i="5"/>
  <c r="E14" i="5"/>
  <c r="F10" i="5"/>
  <c r="E10" i="5"/>
  <c r="E6" i="5"/>
  <c r="F3" i="5"/>
  <c r="E3" i="5"/>
  <c r="F6" i="5"/>
  <c r="F3" i="1"/>
  <c r="F41" i="1" s="1"/>
  <c r="F32" i="1"/>
  <c r="F26" i="1"/>
  <c r="J3" i="1"/>
  <c r="K5" i="1" s="1"/>
  <c r="K4" i="5" l="1"/>
  <c r="F10" i="6"/>
  <c r="K4" i="1"/>
  <c r="E26" i="1"/>
  <c r="E32" i="1"/>
  <c r="E16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1" i="1" l="1"/>
  <c r="G11" i="3"/>
  <c r="H11" i="3" s="1"/>
  <c r="B12" i="3" s="1"/>
  <c r="C12" i="3" s="1"/>
  <c r="D12" i="3" s="1"/>
  <c r="E12" i="3" s="1"/>
  <c r="F12" i="3" s="1"/>
  <c r="L4" i="6"/>
  <c r="L5" i="6"/>
</calcChain>
</file>

<file path=xl/sharedStrings.xml><?xml version="1.0" encoding="utf-8"?>
<sst xmlns="http://schemas.openxmlformats.org/spreadsheetml/2006/main" count="209" uniqueCount="90">
  <si>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</si>
  <si>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</si>
  <si>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</si>
  <si>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</si>
  <si>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</si>
  <si>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</si>
  <si>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</si>
  <si>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</si>
  <si>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</si>
  <si>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</si>
  <si>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</si>
  <si>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</si>
  <si>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</si>
  <si>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</si>
  <si>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</si>
  <si>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</si>
  <si>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</si>
  <si>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</si>
  <si>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</si>
  <si>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</si>
  <si>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</si>
  <si>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</si>
  <si>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</si>
  <si>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</si>
  <si>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</si>
  <si>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</si>
  <si>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</si>
  <si>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</si>
  <si>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</si>
  <si>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</si>
  <si>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</si>
  <si>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</si>
  <si>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</si>
  <si>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</si>
  <si>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</si>
  <si>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</si>
  <si>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</si>
  <si>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</si>
  <si>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</si>
  <si>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</si>
  <si>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</si>
  <si>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</si>
  <si>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</si>
  <si>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</si>
  <si>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</si>
  <si>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</si>
  <si>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</si>
  <si>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</si>
  <si>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</si>
  <si>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</si>
  <si>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</si>
  <si>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仮マップ制作</t>
    <rPh sb="0" eb="1">
      <t>カリ</t>
    </rPh>
    <rPh sb="4" eb="6">
      <t>セイサク</t>
    </rPh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</si>
  <si>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</si>
  <si>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</si>
  <si>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</si>
  <si>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</si>
  <si>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</si>
  <si>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</si>
  <si>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</si>
  <si>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</si>
  <si>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</si>
  <si>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</si>
  <si>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</si>
  <si>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</si>
  <si>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</si>
  <si>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</si>
  <si>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</si>
  <si>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</si>
  <si>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</si>
  <si>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</si>
  <si>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</si>
  <si>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テクスチャ</t>
    <phoneticPr fontId="1"/>
  </si>
  <si>
    <t>ゲーム内BGM</t>
    <rPh sb="3" eb="4">
      <t>ナイ</t>
    </rPh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</si>
  <si>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</si>
  <si>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</si>
  <si>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</si>
  <si>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</si>
  <si>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</si>
  <si>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</si>
  <si>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</si>
  <si>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</si>
  <si>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</si>
  <si>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</si>
  <si>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</si>
  <si>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</si>
  <si>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</si>
  <si>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</si>
  <si>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</si>
  <si>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</si>
  <si>
    <t>ージャンプ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</si>
</sst>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2" xfId="0" applyNumberFormat="1" applyFill="1" applyBorder="1"/>
    <xf numFmtId="56" fontId="0" fillId="4" borderId="1" xfId="0" applyNumberFormat="1" applyFill="1" applyBorder="1"/>
    <xf numFmtId="56" fontId="0" fillId="4" borderId="3" xfId="0" applyNumberFormat="1" applyFill="1" applyBorder="1"/>
    <xf numFmtId="56" fontId="0" fillId="5" borderId="1" xfId="0" applyNumberFormat="1" applyFill="1" applyBorder="1"/>
    <xf numFmtId="56" fontId="0" fillId="5" borderId="2" xfId="0" applyNumberFormat="1" applyFill="1" applyBorder="1"/>
    <xf numFmtId="0" fontId="0" fillId="7" borderId="0" xfId="0" applyFill="1"/>
    <xf numFmtId="56" fontId="0" fillId="7" borderId="1" xfId="0" applyNumberFormat="1" applyFill="1" applyBorder="1"/>
    <xf numFmtId="0" fontId="0" fillId="0" borderId="26" xfId="0" applyBorder="1"/>
    <xf numFmtId="56" fontId="0" fillId="6" borderId="8" xfId="0" applyNumberFormat="1" applyFill="1" applyBorder="1"/>
    <xf numFmtId="56" fontId="0" fillId="6" borderId="9" xfId="0" applyNumberFormat="1" applyFill="1" applyBorder="1"/>
    <xf numFmtId="0" fontId="0" fillId="3" borderId="17" xfId="0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56" fontId="0" fillId="4" borderId="8" xfId="0" applyNumberFormat="1" applyFill="1" applyBorder="1"/>
    <xf numFmtId="56" fontId="0" fillId="4" borderId="9" xfId="0" applyNumberFormat="1" applyFill="1" applyBorder="1"/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24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18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2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56" fontId="0" fillId="7" borderId="2" xfId="0" applyNumberFormat="1" applyFill="1" applyBorder="1"/>
    <xf numFmtId="56" fontId="0" fillId="7" borderId="3" xfId="0" applyNumberFormat="1" applyFill="1" applyBorder="1"/>
    <xf numFmtId="0" fontId="0" fillId="0" borderId="36" xfId="0" applyBorder="1" applyAlignment="1">
      <alignment horizontal="center" vertical="center"/>
    </xf>
    <xf numFmtId="0" fontId="0" fillId="0" borderId="28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34" xfId="0" applyBorder="1" applyAlignment="1">
      <alignment horizontal="right" vertical="center"/>
    </xf>
    <xf numFmtId="0" fontId="0" fillId="10" borderId="15" xfId="0" applyFill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11" borderId="20" xfId="0" applyFill="1" applyBorder="1" applyAlignment="1">
      <alignment horizontal="center" vertical="center"/>
    </xf>
    <xf numFmtId="0" fontId="0" fillId="0" borderId="27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39" xfId="0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38" xfId="0" applyBorder="1" applyAlignment="1">
      <alignment horizontal="center" vertical="center"/>
    </xf>
    <xf numFmtId="56" fontId="0" fillId="9" borderId="4" xfId="0" applyNumberFormat="1" applyFill="1" applyBorder="1"/>
    <xf numFmtId="56" fontId="0" fillId="9" borderId="5" xfId="0" applyNumberFormat="1" applyFill="1" applyBorder="1"/>
    <xf numFmtId="0" fontId="3" fillId="0" borderId="27" xfId="0" applyFont="1" applyBorder="1" applyAlignment="1">
      <alignment horizontal="center"/>
    </xf>
    <xf numFmtId="0" fontId="0" fillId="12" borderId="7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12" borderId="29" xfId="0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12" borderId="14" xfId="0" applyFill="1" applyBorder="1" applyAlignment="1">
      <alignment horizontal="center" vertical="center"/>
    </xf>
    <xf numFmtId="0" fontId="0" fillId="12" borderId="30" xfId="0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12" borderId="28" xfId="0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33" xfId="0" applyFill="1" applyBorder="1" applyAlignment="1">
      <alignment horizontal="center" vertical="center"/>
    </xf>
    <xf numFmtId="0" fontId="0" fillId="0" borderId="29" xfId="0" applyBorder="1" applyAlignment="1">
      <alignment horizontal="right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0" borderId="10" xfId="0" applyBorder="1" applyAlignment="1">
      <alignment horizontal="right" vertical="center"/>
    </xf>
    <xf numFmtId="0" fontId="0" fillId="12" borderId="26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33" xfId="0" applyBorder="1" applyAlignment="1">
      <alignment horizontal="right" vertical="center"/>
    </xf>
    <xf numFmtId="0" fontId="0" fillId="0" borderId="1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2" xfId="0" applyBorder="1"/>
    <xf numFmtId="0" fontId="0" fillId="0" borderId="42" xfId="0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0" fillId="0" borderId="42" xfId="0" applyBorder="1" applyAlignment="1">
      <alignment horizontal="right" vertical="center"/>
    </xf>
    <xf numFmtId="0" fontId="0" fillId="0" borderId="43" xfId="0" applyBorder="1" applyAlignment="1">
      <alignment horizontal="center" vertical="center"/>
    </xf>
    <xf numFmtId="0" fontId="0" fillId="12" borderId="40" xfId="0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12" borderId="45" xfId="0" applyFill="1" applyBorder="1" applyAlignment="1">
      <alignment horizontal="center" vertical="center"/>
    </xf>
    <xf numFmtId="0" fontId="0" fillId="12" borderId="46" xfId="0" applyFill="1" applyBorder="1" applyAlignment="1">
      <alignment horizontal="center" vertical="center"/>
    </xf>
    <xf numFmtId="0" fontId="0" fillId="12" borderId="47" xfId="0" applyFill="1" applyBorder="1" applyAlignment="1">
      <alignment horizontal="center" vertical="center"/>
    </xf>
    <xf numFmtId="0" fontId="0" fillId="0" borderId="0" xfId="0" applyBorder="1" applyAlignment="1">
      <alignment horizontal="right" vertical="center"/>
    </xf>
    <xf numFmtId="0" fontId="0" fillId="12" borderId="4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12" borderId="48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43" xfId="0" applyBorder="1" applyAlignment="1">
      <alignment horizontal="right" vertical="center"/>
    </xf>
    <xf numFmtId="0" fontId="0" fillId="0" borderId="38" xfId="0" applyBorder="1" applyAlignment="1">
      <alignment horizontal="right" vertical="center"/>
    </xf>
    <xf numFmtId="0" fontId="0" fillId="0" borderId="0" xfId="0" applyFill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0" fontId="0" fillId="0" borderId="32" xfId="0" applyBorder="1" applyAlignment="1">
      <alignment horizontal="right" vertical="center"/>
    </xf>
    <xf numFmtId="0" fontId="0" fillId="2" borderId="15" xfId="0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41"/>
  <sheetViews>
    <sheetView tabSelected="1" workbookViewId="0">
      <selection activeCell="R8" sqref="R8"/>
    </sheetView>
  </sheetViews>
  <sheetFormatPr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9" ht="19.5" thickBot="1"/>
    <row r="2" spans="2:19" ht="19.5" thickBot="1">
      <c r="B2" s="85" t="s">
        <v>13</v>
      </c>
      <c r="C2" s="86"/>
      <c r="D2" s="48" t="s">
        <v>9</v>
      </c>
      <c r="E2" s="5" t="s">
        <v>7</v>
      </c>
      <c r="F2" s="57" t="s">
        <v>8</v>
      </c>
      <c r="G2" s="11" t="s">
        <v>82</v>
      </c>
    </row>
    <row r="3" spans="2:19" ht="19.5" thickBot="1">
      <c r="B3" s="87" t="s">
        <v>0</v>
      </c>
      <c r="C3" s="88"/>
      <c r="D3" s="48" t="s">
        <v>12</v>
      </c>
      <c r="E3" s="45">
        <f>SUM(E4:E15)</f>
        <v>14</v>
      </c>
      <c r="F3" s="46">
        <f>SUM(F4:F15)</f>
        <v>15</v>
      </c>
      <c r="G3" s="48" t="s">
        <v>87</v>
      </c>
      <c r="I3" s="61" t="s">
        <v>77</v>
      </c>
      <c r="J3" s="64">
        <f ca="1">TODAY()</f>
        <v>46295</v>
      </c>
      <c r="K3" s="48" t="s">
        <v>86</v>
      </c>
    </row>
    <row r="4" spans="2:19" ht="19.5" thickBot="1">
      <c r="B4" s="89" t="s">
        <v>37</v>
      </c>
      <c r="C4" s="90"/>
      <c r="D4" s="10"/>
      <c r="E4" s="43"/>
      <c r="F4" s="43"/>
      <c r="G4" s="54" t="s">
        <v>87</v>
      </c>
      <c r="I4" s="145" t="s">
        <v>78</v>
      </c>
      <c r="J4" s="64">
        <v>46295</v>
      </c>
      <c r="K4" s="113" t="str">
        <f ca="1">SUM($J4-J3)&amp; "日"</f>
        <v>0日</v>
      </c>
    </row>
    <row r="5" spans="2:19" ht="19.5" thickBot="1">
      <c r="B5" s="91" t="s">
        <v>38</v>
      </c>
      <c r="C5" s="92"/>
      <c r="D5" s="7"/>
      <c r="E5" s="39">
        <v>2</v>
      </c>
      <c r="F5" s="39">
        <v>2</v>
      </c>
      <c r="G5" s="54" t="s">
        <v>87</v>
      </c>
      <c r="I5" s="142" t="s">
        <v>76</v>
      </c>
      <c r="J5" s="143">
        <v>46314</v>
      </c>
      <c r="K5" s="144" t="str">
        <f ca="1">SUM(J5-J3)&amp; "日"</f>
        <v>19日</v>
      </c>
      <c r="Q5" s="140"/>
      <c r="R5" s="141"/>
      <c r="S5" s="133"/>
    </row>
    <row r="6" spans="2:19">
      <c r="B6" s="91" t="s">
        <v>39</v>
      </c>
      <c r="C6" s="92"/>
      <c r="D6" s="7"/>
      <c r="E6" s="39">
        <v>1</v>
      </c>
      <c r="F6" s="39">
        <v>2</v>
      </c>
      <c r="G6" s="54" t="s">
        <v>87</v>
      </c>
      <c r="Q6" s="140"/>
      <c r="R6" s="141"/>
      <c r="S6" s="133"/>
    </row>
    <row r="7" spans="2:19">
      <c r="B7" s="91" t="s">
        <v>89</v>
      </c>
      <c r="C7" s="92"/>
      <c r="D7" s="7"/>
      <c r="E7" s="39">
        <v>1</v>
      </c>
      <c r="F7" s="43">
        <v>1</v>
      </c>
      <c r="G7" s="54" t="s">
        <v>87</v>
      </c>
      <c r="Q7" s="140"/>
      <c r="R7" s="141"/>
      <c r="S7" s="133"/>
    </row>
    <row r="8" spans="2:19">
      <c r="B8" s="79" t="s">
        <v>88</v>
      </c>
      <c r="C8" s="80"/>
      <c r="D8" s="7"/>
      <c r="E8" s="39">
        <v>2</v>
      </c>
      <c r="F8" s="43">
        <v>2</v>
      </c>
      <c r="G8" s="54" t="s">
        <v>87</v>
      </c>
    </row>
    <row r="9" spans="2:19">
      <c r="B9" s="79" t="s">
        <v>28</v>
      </c>
      <c r="C9" s="80"/>
      <c r="D9" s="9"/>
      <c r="E9" s="40">
        <v>2</v>
      </c>
      <c r="F9" s="40">
        <v>2</v>
      </c>
      <c r="G9" s="54" t="s">
        <v>87</v>
      </c>
    </row>
    <row r="10" spans="2:19">
      <c r="B10" s="79" t="s">
        <v>40</v>
      </c>
      <c r="C10" s="80"/>
      <c r="D10" s="9"/>
      <c r="E10" s="40">
        <v>2</v>
      </c>
      <c r="F10" s="40">
        <v>2</v>
      </c>
      <c r="G10" s="54" t="s">
        <v>87</v>
      </c>
    </row>
    <row r="11" spans="2:19">
      <c r="B11" s="83" t="s">
        <v>84</v>
      </c>
      <c r="C11" s="84"/>
      <c r="D11" s="7"/>
      <c r="E11" s="39">
        <v>1</v>
      </c>
      <c r="F11" s="39">
        <v>1</v>
      </c>
      <c r="G11" s="53" t="s">
        <v>87</v>
      </c>
    </row>
    <row r="12" spans="2:19">
      <c r="B12" s="79" t="s">
        <v>41</v>
      </c>
      <c r="C12" s="80"/>
      <c r="D12" s="7"/>
      <c r="E12" s="39"/>
      <c r="F12" s="40"/>
      <c r="G12" s="53" t="s">
        <v>87</v>
      </c>
    </row>
    <row r="13" spans="2:19">
      <c r="B13" s="81" t="s">
        <v>42</v>
      </c>
      <c r="C13" s="82"/>
      <c r="D13" s="7"/>
      <c r="E13" s="39">
        <v>1</v>
      </c>
      <c r="F13" s="39">
        <v>1</v>
      </c>
      <c r="G13" s="53" t="s">
        <v>87</v>
      </c>
    </row>
    <row r="14" spans="2:19">
      <c r="B14" s="91" t="s">
        <v>43</v>
      </c>
      <c r="C14" s="92"/>
      <c r="D14" s="7"/>
      <c r="E14" s="39">
        <v>1</v>
      </c>
      <c r="F14" s="39">
        <v>1</v>
      </c>
      <c r="G14" s="53" t="s">
        <v>87</v>
      </c>
      <c r="R14" s="73"/>
      <c r="S14" s="74"/>
    </row>
    <row r="15" spans="2:19" ht="19.5" thickBot="1">
      <c r="B15" s="97" t="s">
        <v>44</v>
      </c>
      <c r="C15" s="98"/>
      <c r="D15" s="9"/>
      <c r="E15" s="40">
        <v>1</v>
      </c>
      <c r="F15" s="40">
        <v>1</v>
      </c>
      <c r="G15" s="53" t="s">
        <v>87</v>
      </c>
    </row>
    <row r="16" spans="2:19" ht="19.5" thickBot="1">
      <c r="B16" s="87" t="s">
        <v>1</v>
      </c>
      <c r="C16" s="88"/>
      <c r="D16" s="11" t="s">
        <v>11</v>
      </c>
      <c r="E16" s="110">
        <f>SUM(E17:E25)</f>
        <v>16</v>
      </c>
      <c r="F16" s="46">
        <v>8</v>
      </c>
      <c r="G16" s="48" t="s">
        <v>87</v>
      </c>
    </row>
    <row r="17" spans="2:7">
      <c r="B17" s="89" t="s">
        <v>45</v>
      </c>
      <c r="C17" s="90"/>
      <c r="D17" s="10"/>
      <c r="E17" s="107">
        <v>3</v>
      </c>
      <c r="F17" s="43">
        <v>1</v>
      </c>
      <c r="G17" s="54" t="s">
        <v>87</v>
      </c>
    </row>
    <row r="18" spans="2:7">
      <c r="B18" s="79" t="s">
        <v>46</v>
      </c>
      <c r="C18" s="80"/>
      <c r="D18" s="7"/>
      <c r="E18" s="70">
        <v>3</v>
      </c>
      <c r="F18" s="39">
        <v>1</v>
      </c>
      <c r="G18" s="53" t="s">
        <v>87</v>
      </c>
    </row>
    <row r="19" spans="2:7">
      <c r="B19" s="79" t="s">
        <v>47</v>
      </c>
      <c r="C19" s="80"/>
      <c r="D19" s="7"/>
      <c r="E19" s="70">
        <v>3</v>
      </c>
      <c r="F19" s="39">
        <v>1</v>
      </c>
      <c r="G19" s="53" t="s">
        <v>87</v>
      </c>
    </row>
    <row r="20" spans="2:7">
      <c r="B20" s="79" t="s">
        <v>48</v>
      </c>
      <c r="C20" s="80"/>
      <c r="D20" s="9"/>
      <c r="E20" s="70">
        <v>3</v>
      </c>
      <c r="F20" s="39">
        <v>1</v>
      </c>
      <c r="G20" s="53" t="s">
        <v>87</v>
      </c>
    </row>
    <row r="21" spans="2:7">
      <c r="B21" s="79" t="s">
        <v>49</v>
      </c>
      <c r="C21" s="80"/>
      <c r="D21" s="7"/>
      <c r="E21" s="71">
        <v>1</v>
      </c>
      <c r="F21" s="39">
        <v>1</v>
      </c>
      <c r="G21" s="53" t="s">
        <v>87</v>
      </c>
    </row>
    <row r="22" spans="2:7">
      <c r="B22" s="83" t="s">
        <v>41</v>
      </c>
      <c r="C22" s="84"/>
      <c r="D22" s="7"/>
      <c r="E22" s="70"/>
      <c r="F22" s="39">
        <v>3</v>
      </c>
      <c r="G22" s="53" t="s">
        <v>87</v>
      </c>
    </row>
    <row r="23" spans="2:7">
      <c r="B23" s="81" t="s">
        <v>42</v>
      </c>
      <c r="C23" s="82"/>
      <c r="D23" s="7"/>
      <c r="E23" s="70">
        <v>1</v>
      </c>
      <c r="F23" s="39">
        <v>1</v>
      </c>
      <c r="G23" s="53" t="s">
        <v>87</v>
      </c>
    </row>
    <row r="24" spans="2:7">
      <c r="B24" s="81" t="s">
        <v>43</v>
      </c>
      <c r="C24" s="82"/>
      <c r="D24" s="7"/>
      <c r="E24" s="70">
        <v>1</v>
      </c>
      <c r="F24" s="39">
        <v>1</v>
      </c>
      <c r="G24" s="53" t="s">
        <v>87</v>
      </c>
    </row>
    <row r="25" spans="2:7" ht="19.5" thickBot="1">
      <c r="B25" s="99" t="s">
        <v>50</v>
      </c>
      <c r="C25" s="100"/>
      <c r="D25" s="8"/>
      <c r="E25" s="72">
        <v>1</v>
      </c>
      <c r="F25" s="41">
        <v>1</v>
      </c>
      <c r="G25" s="53" t="s">
        <v>87</v>
      </c>
    </row>
    <row r="26" spans="2:7" ht="19.5" thickBot="1">
      <c r="B26" s="87" t="s">
        <v>2</v>
      </c>
      <c r="C26" s="88"/>
      <c r="D26" s="11" t="s">
        <v>10</v>
      </c>
      <c r="E26" s="46">
        <f>SUM(E27:E31)</f>
        <v>12</v>
      </c>
      <c r="F26" s="46">
        <f>SUM(F27,F28,F31)</f>
        <v>8</v>
      </c>
      <c r="G26" s="48" t="s">
        <v>83</v>
      </c>
    </row>
    <row r="27" spans="2:7">
      <c r="B27" s="111" t="s">
        <v>51</v>
      </c>
      <c r="C27" s="112"/>
      <c r="D27" s="10"/>
      <c r="E27" s="43">
        <v>5</v>
      </c>
      <c r="F27" s="43">
        <v>5</v>
      </c>
      <c r="G27" s="54" t="s">
        <v>87</v>
      </c>
    </row>
    <row r="28" spans="2:7">
      <c r="B28" s="83" t="s">
        <v>52</v>
      </c>
      <c r="C28" s="84"/>
      <c r="D28" s="7"/>
      <c r="E28" s="39"/>
      <c r="F28" s="39"/>
      <c r="G28" s="53" t="s">
        <v>83</v>
      </c>
    </row>
    <row r="29" spans="2:7">
      <c r="B29" s="81" t="s">
        <v>53</v>
      </c>
      <c r="C29" s="82"/>
      <c r="D29" s="7"/>
      <c r="E29" s="39">
        <v>2</v>
      </c>
      <c r="F29" s="39"/>
      <c r="G29" s="53" t="s">
        <v>83</v>
      </c>
    </row>
    <row r="30" spans="2:7">
      <c r="B30" s="81" t="s">
        <v>54</v>
      </c>
      <c r="C30" s="82"/>
      <c r="D30" s="7"/>
      <c r="E30" s="39">
        <v>2</v>
      </c>
      <c r="F30" s="39"/>
      <c r="G30" s="53" t="s">
        <v>83</v>
      </c>
    </row>
    <row r="31" spans="2:7" ht="19.5" thickBot="1">
      <c r="B31" s="108" t="s">
        <v>55</v>
      </c>
      <c r="C31" s="109"/>
      <c r="D31" s="9"/>
      <c r="E31" s="40">
        <v>3</v>
      </c>
      <c r="F31" s="40">
        <v>3</v>
      </c>
      <c r="G31" s="75" t="s">
        <v>87</v>
      </c>
    </row>
    <row r="32" spans="2:7" ht="19.5" thickBot="1">
      <c r="B32" s="87" t="s">
        <v>60</v>
      </c>
      <c r="C32" s="88"/>
      <c r="D32" s="11" t="s">
        <v>14</v>
      </c>
      <c r="E32" s="45">
        <f>SUM(E33:E40)</f>
        <v>11</v>
      </c>
      <c r="F32" s="110">
        <f>SUM(F34,F36,F37,F39,F40)</f>
        <v>5</v>
      </c>
      <c r="G32" s="11" t="s">
        <v>87</v>
      </c>
    </row>
    <row r="33" spans="2:7">
      <c r="B33" s="89" t="s">
        <v>59</v>
      </c>
      <c r="C33" s="90"/>
      <c r="D33" s="10"/>
      <c r="E33" s="47"/>
      <c r="F33" s="107"/>
      <c r="G33" s="10" t="s">
        <v>87</v>
      </c>
    </row>
    <row r="34" spans="2:7">
      <c r="B34" s="91" t="s">
        <v>56</v>
      </c>
      <c r="C34" s="92"/>
      <c r="D34" s="10"/>
      <c r="E34" s="47">
        <v>2</v>
      </c>
      <c r="F34" s="107">
        <v>1</v>
      </c>
      <c r="G34" s="7" t="s">
        <v>87</v>
      </c>
    </row>
    <row r="35" spans="2:7">
      <c r="B35" s="101" t="s">
        <v>4</v>
      </c>
      <c r="C35" s="102"/>
      <c r="D35" s="7"/>
      <c r="E35" s="38"/>
      <c r="F35" s="70"/>
      <c r="G35" s="7" t="s">
        <v>87</v>
      </c>
    </row>
    <row r="36" spans="2:7">
      <c r="B36" s="79" t="s">
        <v>57</v>
      </c>
      <c r="C36" s="80"/>
      <c r="D36" s="7"/>
      <c r="E36" s="38">
        <v>2</v>
      </c>
      <c r="F36" s="70">
        <v>1</v>
      </c>
      <c r="G36" s="7" t="s">
        <v>87</v>
      </c>
    </row>
    <row r="37" spans="2:7">
      <c r="B37" s="79" t="s">
        <v>58</v>
      </c>
      <c r="C37" s="80"/>
      <c r="D37" s="7"/>
      <c r="E37" s="38">
        <v>2</v>
      </c>
      <c r="F37" s="70">
        <v>1</v>
      </c>
      <c r="G37" s="7" t="s">
        <v>87</v>
      </c>
    </row>
    <row r="38" spans="2:7">
      <c r="B38" s="101" t="s">
        <v>5</v>
      </c>
      <c r="C38" s="102"/>
      <c r="D38" s="7"/>
      <c r="E38" s="38"/>
      <c r="F38" s="70"/>
      <c r="G38" s="7" t="s">
        <v>87</v>
      </c>
    </row>
    <row r="39" spans="2:7">
      <c r="B39" s="103" t="s">
        <v>61</v>
      </c>
      <c r="C39" s="104"/>
      <c r="D39" s="7"/>
      <c r="E39" s="38">
        <v>2</v>
      </c>
      <c r="F39" s="70">
        <v>1</v>
      </c>
      <c r="G39" s="7" t="s">
        <v>87</v>
      </c>
    </row>
    <row r="40" spans="2:7" ht="19.5" thickBot="1">
      <c r="B40" s="95" t="s">
        <v>62</v>
      </c>
      <c r="C40" s="96"/>
      <c r="D40" s="8"/>
      <c r="E40" s="44">
        <v>3</v>
      </c>
      <c r="F40" s="72">
        <v>1</v>
      </c>
      <c r="G40" s="8" t="s">
        <v>87</v>
      </c>
    </row>
    <row r="41" spans="2:7" ht="19.5" thickBot="1">
      <c r="B41" s="93" t="s">
        <v>85</v>
      </c>
      <c r="C41" s="94"/>
      <c r="D41" s="49"/>
      <c r="E41" s="68">
        <f>SUM(E3+E16+E26+F32)</f>
        <v>47</v>
      </c>
      <c r="F41" s="69">
        <f>SUM(F3+F16+F26+F32)</f>
        <v>36</v>
      </c>
      <c r="G41" s="49"/>
    </row>
  </sheetData>
  <mergeCells count="40">
    <mergeCell ref="B41:C41"/>
    <mergeCell ref="B40:C40"/>
    <mergeCell ref="B14:C14"/>
    <mergeCell ref="B15:C15"/>
    <mergeCell ref="B24:C24"/>
    <mergeCell ref="B25:C25"/>
    <mergeCell ref="B31:C31"/>
    <mergeCell ref="B33:C33"/>
    <mergeCell ref="B34:C34"/>
    <mergeCell ref="B37:C37"/>
    <mergeCell ref="B32:C32"/>
    <mergeCell ref="B35:C35"/>
    <mergeCell ref="B38:C38"/>
    <mergeCell ref="B39:C39"/>
    <mergeCell ref="B36:C36"/>
    <mergeCell ref="B18:C18"/>
    <mergeCell ref="B2:C2"/>
    <mergeCell ref="B3:C3"/>
    <mergeCell ref="B10:C10"/>
    <mergeCell ref="B16:C16"/>
    <mergeCell ref="B17:C17"/>
    <mergeCell ref="B4:C4"/>
    <mergeCell ref="B8:C8"/>
    <mergeCell ref="B6:C6"/>
    <mergeCell ref="B5:C5"/>
    <mergeCell ref="B11:C11"/>
    <mergeCell ref="B7:C7"/>
    <mergeCell ref="B20:C20"/>
    <mergeCell ref="B30:C30"/>
    <mergeCell ref="B28:C28"/>
    <mergeCell ref="B9:C9"/>
    <mergeCell ref="B12:C12"/>
    <mergeCell ref="B21:C21"/>
    <mergeCell ref="B22:C22"/>
    <mergeCell ref="B13:C13"/>
    <mergeCell ref="B23:C23"/>
    <mergeCell ref="B29:C29"/>
    <mergeCell ref="B27:C27"/>
    <mergeCell ref="B26:C26"/>
    <mergeCell ref="B19:C19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K20"/>
  <sheetViews>
    <sheetView workbookViewId="0">
      <selection activeCell="L7" sqref="L7"/>
    </sheetView>
  </sheetViews>
  <sheetFormatPr defaultRowHeight="18.75"/>
  <cols>
    <col min="3" max="3" width="18.125" customWidth="1"/>
    <col min="9" max="9" width="19.125" bestFit="1" customWidth="1"/>
    <col min="10" max="10" width="11.375" bestFit="1" customWidth="1"/>
  </cols>
  <sheetData>
    <row r="1" spans="2:11" ht="19.5" thickBot="1"/>
    <row r="2" spans="2:11" ht="19.5" thickBot="1">
      <c r="B2" s="85" t="s">
        <v>63</v>
      </c>
      <c r="C2" s="86"/>
      <c r="D2" s="48" t="s">
        <v>9</v>
      </c>
      <c r="E2" s="114" t="s">
        <v>7</v>
      </c>
      <c r="F2" s="11" t="s">
        <v>8</v>
      </c>
      <c r="G2" s="11" t="s">
        <v>82</v>
      </c>
      <c r="I2" s="61" t="s">
        <v>77</v>
      </c>
      <c r="J2" s="64">
        <f ca="1">TODAY()</f>
        <v>46295</v>
      </c>
      <c r="K2" s="48" t="s">
        <v>86</v>
      </c>
    </row>
    <row r="3" spans="2:11" ht="19.5" thickBot="1">
      <c r="B3" s="87" t="s">
        <v>0</v>
      </c>
      <c r="C3" s="88"/>
      <c r="D3" s="48" t="s">
        <v>12</v>
      </c>
      <c r="E3" s="45">
        <f>SUM(E4:E5)</f>
        <v>4</v>
      </c>
      <c r="F3" s="46">
        <f>SUM(F4:F5)</f>
        <v>0</v>
      </c>
      <c r="G3" s="11" t="s">
        <v>83</v>
      </c>
      <c r="I3" s="119" t="s">
        <v>79</v>
      </c>
      <c r="J3" s="63">
        <v>46305</v>
      </c>
      <c r="K3" s="59" t="str">
        <f ca="1">SUM($J3-J2)&amp; "日"</f>
        <v>10日</v>
      </c>
    </row>
    <row r="4" spans="2:11" ht="19.5" thickBot="1">
      <c r="B4" s="89" t="s">
        <v>65</v>
      </c>
      <c r="C4" s="90"/>
      <c r="D4" s="6"/>
      <c r="E4" s="42">
        <v>2</v>
      </c>
      <c r="F4" s="42"/>
      <c r="G4" s="10" t="s">
        <v>83</v>
      </c>
      <c r="I4" s="142" t="s">
        <v>76</v>
      </c>
      <c r="J4" s="143">
        <v>46314</v>
      </c>
      <c r="K4" s="144" t="str">
        <f ca="1">SUM(J4-J2)&amp; "日"</f>
        <v>19日</v>
      </c>
    </row>
    <row r="5" spans="2:11" ht="19.5" thickBot="1">
      <c r="B5" s="108" t="s">
        <v>69</v>
      </c>
      <c r="C5" s="109"/>
      <c r="D5" s="9"/>
      <c r="E5" s="40">
        <v>2</v>
      </c>
      <c r="F5" s="40"/>
      <c r="G5" s="118" t="s">
        <v>83</v>
      </c>
    </row>
    <row r="6" spans="2:11" ht="19.5" thickBot="1">
      <c r="B6" s="87" t="s">
        <v>1</v>
      </c>
      <c r="C6" s="88"/>
      <c r="D6" s="11" t="s">
        <v>11</v>
      </c>
      <c r="E6" s="46">
        <f>SUM(E7:E9)</f>
        <v>7</v>
      </c>
      <c r="F6" s="46">
        <f>SUM(F7:F9)</f>
        <v>3</v>
      </c>
      <c r="G6" s="11" t="s">
        <v>83</v>
      </c>
    </row>
    <row r="7" spans="2:11">
      <c r="B7" s="89" t="s">
        <v>65</v>
      </c>
      <c r="C7" s="90"/>
      <c r="D7" s="10"/>
      <c r="E7" s="43">
        <v>2</v>
      </c>
      <c r="F7" s="43">
        <v>1</v>
      </c>
      <c r="G7" s="10" t="s">
        <v>83</v>
      </c>
    </row>
    <row r="8" spans="2:11">
      <c r="B8" s="79" t="s">
        <v>66</v>
      </c>
      <c r="C8" s="80"/>
      <c r="D8" s="7"/>
      <c r="E8" s="39">
        <v>3</v>
      </c>
      <c r="F8" s="39">
        <v>2</v>
      </c>
      <c r="G8" s="10" t="s">
        <v>83</v>
      </c>
    </row>
    <row r="9" spans="2:11" ht="19.5" thickBot="1">
      <c r="B9" s="108" t="s">
        <v>70</v>
      </c>
      <c r="C9" s="109"/>
      <c r="D9" s="9"/>
      <c r="E9" s="40">
        <v>2</v>
      </c>
      <c r="F9" s="40"/>
      <c r="G9" s="118" t="s">
        <v>83</v>
      </c>
    </row>
    <row r="10" spans="2:11" ht="19.5" thickBot="1">
      <c r="B10" s="87" t="s">
        <v>2</v>
      </c>
      <c r="C10" s="88"/>
      <c r="D10" s="11" t="s">
        <v>10</v>
      </c>
      <c r="E10" s="46">
        <f>SUM(E11:E13)</f>
        <v>8</v>
      </c>
      <c r="F10" s="46">
        <f>SUM(F11:F13)</f>
        <v>0</v>
      </c>
      <c r="G10" s="11" t="s">
        <v>83</v>
      </c>
    </row>
    <row r="11" spans="2:11">
      <c r="B11" s="111" t="s">
        <v>71</v>
      </c>
      <c r="C11" s="112"/>
      <c r="D11" s="10"/>
      <c r="E11" s="43">
        <v>5</v>
      </c>
      <c r="F11" s="43"/>
      <c r="G11" s="7" t="s">
        <v>83</v>
      </c>
    </row>
    <row r="12" spans="2:11">
      <c r="B12" s="83" t="s">
        <v>72</v>
      </c>
      <c r="C12" s="84"/>
      <c r="D12" s="7"/>
      <c r="E12" s="39">
        <v>1</v>
      </c>
      <c r="F12" s="39"/>
      <c r="G12" s="7" t="s">
        <v>83</v>
      </c>
    </row>
    <row r="13" spans="2:11" ht="19.5" thickBot="1">
      <c r="B13" s="115" t="s">
        <v>69</v>
      </c>
      <c r="C13" s="116"/>
      <c r="D13" s="9"/>
      <c r="E13" s="40">
        <v>2</v>
      </c>
      <c r="F13" s="40"/>
      <c r="G13" s="9" t="s">
        <v>83</v>
      </c>
    </row>
    <row r="14" spans="2:11" ht="19.5" thickBot="1">
      <c r="B14" s="87" t="s">
        <v>60</v>
      </c>
      <c r="C14" s="88"/>
      <c r="D14" s="11" t="s">
        <v>14</v>
      </c>
      <c r="E14" s="45">
        <f>SUM(E15+E17+E19)</f>
        <v>9</v>
      </c>
      <c r="F14" s="46">
        <f>SUM(F15+F17+F19)</f>
        <v>0</v>
      </c>
      <c r="G14" s="11" t="s">
        <v>83</v>
      </c>
    </row>
    <row r="15" spans="2:11">
      <c r="B15" s="89" t="s">
        <v>64</v>
      </c>
      <c r="C15" s="90"/>
      <c r="D15" s="10"/>
      <c r="E15" s="47">
        <v>5</v>
      </c>
      <c r="F15" s="43"/>
      <c r="G15" s="7" t="s">
        <v>83</v>
      </c>
    </row>
    <row r="16" spans="2:11">
      <c r="B16" s="101" t="s">
        <v>4</v>
      </c>
      <c r="C16" s="102"/>
      <c r="D16" s="7"/>
      <c r="E16" s="38"/>
      <c r="F16" s="39"/>
      <c r="G16" s="7" t="s">
        <v>83</v>
      </c>
    </row>
    <row r="17" spans="2:7">
      <c r="B17" s="79" t="s">
        <v>67</v>
      </c>
      <c r="C17" s="80"/>
      <c r="D17" s="7"/>
      <c r="E17" s="38">
        <v>2</v>
      </c>
      <c r="F17" s="39"/>
      <c r="G17" s="7" t="s">
        <v>83</v>
      </c>
    </row>
    <row r="18" spans="2:7">
      <c r="B18" s="101" t="s">
        <v>5</v>
      </c>
      <c r="C18" s="102"/>
      <c r="D18" s="7"/>
      <c r="E18" s="38"/>
      <c r="F18" s="39"/>
      <c r="G18" s="7" t="s">
        <v>83</v>
      </c>
    </row>
    <row r="19" spans="2:7" ht="19.5" thickBot="1">
      <c r="B19" s="103" t="s">
        <v>67</v>
      </c>
      <c r="C19" s="104"/>
      <c r="D19" s="7"/>
      <c r="E19" s="38">
        <v>2</v>
      </c>
      <c r="F19" s="39"/>
      <c r="G19" s="8" t="s">
        <v>83</v>
      </c>
    </row>
    <row r="20" spans="2:7" ht="19.5" thickBot="1">
      <c r="B20" s="105" t="s">
        <v>34</v>
      </c>
      <c r="C20" s="106"/>
      <c r="D20" s="11"/>
      <c r="E20" s="45">
        <f>SUM(E3+E6+E10+E14)</f>
        <v>28</v>
      </c>
      <c r="F20" s="46">
        <f>SUM(F3+F6+F10+F14)</f>
        <v>3</v>
      </c>
      <c r="G20" s="117"/>
    </row>
  </sheetData>
  <mergeCells count="19">
    <mergeCell ref="B19:C19"/>
    <mergeCell ref="B20:C20"/>
    <mergeCell ref="B15:C15"/>
    <mergeCell ref="B16:C16"/>
    <mergeCell ref="B17:C17"/>
    <mergeCell ref="B18:C18"/>
    <mergeCell ref="B11:C11"/>
    <mergeCell ref="B12:C12"/>
    <mergeCell ref="B13:C13"/>
    <mergeCell ref="B14:C14"/>
    <mergeCell ref="B10:C10"/>
    <mergeCell ref="B6:C6"/>
    <mergeCell ref="B7:C7"/>
    <mergeCell ref="B8:C8"/>
    <mergeCell ref="B9:C9"/>
    <mergeCell ref="B2:C2"/>
    <mergeCell ref="B3:C3"/>
    <mergeCell ref="B4:C4"/>
    <mergeCell ref="B5:C5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L20"/>
  <sheetViews>
    <sheetView workbookViewId="0">
      <selection activeCell="H14" sqref="H14"/>
    </sheetView>
  </sheetViews>
  <sheetFormatPr defaultRowHeight="18.75"/>
  <cols>
    <col min="8" max="8" width="17.25" bestFit="1" customWidth="1"/>
    <col min="9" max="9" width="11.375" bestFit="1" customWidth="1"/>
    <col min="10" max="10" width="17.25" bestFit="1" customWidth="1"/>
    <col min="11" max="11" width="11.375" bestFit="1" customWidth="1"/>
    <col min="12" max="12" width="7.125" bestFit="1" customWidth="1"/>
  </cols>
  <sheetData>
    <row r="1" spans="2:12" ht="19.5" thickBot="1"/>
    <row r="2" spans="2:12" ht="19.5" thickBot="1">
      <c r="B2" s="125" t="s">
        <v>73</v>
      </c>
      <c r="C2" s="128"/>
      <c r="D2" s="11" t="s">
        <v>9</v>
      </c>
      <c r="E2" s="11" t="s">
        <v>7</v>
      </c>
      <c r="F2" s="48" t="s">
        <v>8</v>
      </c>
      <c r="G2" s="48" t="s">
        <v>82</v>
      </c>
    </row>
    <row r="3" spans="2:12" ht="19.5" thickBot="1">
      <c r="B3" s="126" t="s">
        <v>0</v>
      </c>
      <c r="C3" s="129"/>
      <c r="D3" s="11" t="s">
        <v>12</v>
      </c>
      <c r="E3" s="46">
        <f>SUM(E4)</f>
        <v>3</v>
      </c>
      <c r="F3" s="113">
        <f>SUM(F4)</f>
        <v>0</v>
      </c>
      <c r="G3" s="48" t="s">
        <v>83</v>
      </c>
      <c r="J3" s="61" t="s">
        <v>77</v>
      </c>
      <c r="K3" s="64">
        <f ca="1">TODAY()</f>
        <v>46295</v>
      </c>
      <c r="L3" s="48" t="s">
        <v>86</v>
      </c>
    </row>
    <row r="4" spans="2:12" ht="19.5" thickBot="1">
      <c r="B4" s="127" t="s">
        <v>74</v>
      </c>
      <c r="C4" s="130"/>
      <c r="D4" s="118"/>
      <c r="E4" s="122">
        <v>3</v>
      </c>
      <c r="F4" s="113">
        <f>SUM(F5)</f>
        <v>0</v>
      </c>
      <c r="G4" s="123" t="s">
        <v>83</v>
      </c>
      <c r="J4" s="65" t="s">
        <v>80</v>
      </c>
      <c r="K4" s="62">
        <v>46310</v>
      </c>
      <c r="L4" s="58" t="str">
        <f ca="1">SUM($L4-I1)&amp; "日"</f>
        <v>15日</v>
      </c>
    </row>
    <row r="5" spans="2:12" ht="19.5" thickBot="1">
      <c r="B5" s="126" t="s">
        <v>1</v>
      </c>
      <c r="C5" s="129"/>
      <c r="D5" s="11" t="s">
        <v>11</v>
      </c>
      <c r="E5" s="46">
        <f>SUM(E6)</f>
        <v>3</v>
      </c>
      <c r="F5" s="113">
        <f t="shared" ref="F5:F6" si="0">SUM(F6)</f>
        <v>0</v>
      </c>
      <c r="G5" s="48" t="s">
        <v>83</v>
      </c>
      <c r="J5" s="66" t="s">
        <v>81</v>
      </c>
      <c r="K5" s="62">
        <v>46313</v>
      </c>
      <c r="L5" s="58" t="str">
        <f ca="1">SUM($L5-I1)&amp; "日"</f>
        <v>18日</v>
      </c>
    </row>
    <row r="6" spans="2:12" ht="19.5" thickBot="1">
      <c r="B6" s="127" t="s">
        <v>75</v>
      </c>
      <c r="C6" s="130"/>
      <c r="D6" s="118"/>
      <c r="E6" s="122">
        <v>3</v>
      </c>
      <c r="F6" s="113">
        <f t="shared" si="0"/>
        <v>0</v>
      </c>
      <c r="G6" s="123" t="s">
        <v>83</v>
      </c>
      <c r="J6" s="67" t="s">
        <v>76</v>
      </c>
      <c r="K6" s="63">
        <v>46314</v>
      </c>
      <c r="L6" s="59" t="str">
        <f ca="1">SUM(K6-K3)&amp; "日"</f>
        <v>19日</v>
      </c>
    </row>
    <row r="7" spans="2:12" ht="19.5" thickBot="1">
      <c r="B7" s="126" t="s">
        <v>2</v>
      </c>
      <c r="C7" s="129"/>
      <c r="D7" s="11" t="s">
        <v>10</v>
      </c>
      <c r="E7" s="46">
        <f>SUM(E8:E9)</f>
        <v>5</v>
      </c>
      <c r="F7" s="113">
        <f>SUM(F8:F9)</f>
        <v>0</v>
      </c>
      <c r="G7" s="48" t="s">
        <v>83</v>
      </c>
    </row>
    <row r="8" spans="2:12">
      <c r="B8" s="111" t="s">
        <v>74</v>
      </c>
      <c r="C8" s="131"/>
      <c r="D8" s="10"/>
      <c r="E8" s="43">
        <v>3</v>
      </c>
      <c r="F8" s="60"/>
      <c r="G8" s="54" t="s">
        <v>83</v>
      </c>
    </row>
    <row r="9" spans="2:12" ht="19.5" thickBot="1">
      <c r="B9" s="124" t="s">
        <v>68</v>
      </c>
      <c r="C9" s="132"/>
      <c r="D9" s="9"/>
      <c r="E9" s="40">
        <v>2</v>
      </c>
      <c r="F9" s="139"/>
      <c r="G9" s="75" t="s">
        <v>83</v>
      </c>
    </row>
    <row r="10" spans="2:12" ht="19.5" thickBot="1">
      <c r="B10" s="126" t="s">
        <v>60</v>
      </c>
      <c r="C10" s="129"/>
      <c r="D10" s="11" t="s">
        <v>14</v>
      </c>
      <c r="E10" s="46">
        <f>SUM(E11)</f>
        <v>2</v>
      </c>
      <c r="F10" s="113">
        <f>SUM(F12+F15)</f>
        <v>0</v>
      </c>
      <c r="G10" s="48" t="s">
        <v>83</v>
      </c>
    </row>
    <row r="11" spans="2:12" ht="19.5" thickBot="1">
      <c r="B11" s="127" t="s">
        <v>74</v>
      </c>
      <c r="C11" s="130"/>
      <c r="D11" s="118"/>
      <c r="E11" s="122">
        <v>2</v>
      </c>
      <c r="F11" s="138"/>
      <c r="G11" s="123" t="s">
        <v>83</v>
      </c>
    </row>
    <row r="12" spans="2:12" ht="19.5" thickBot="1">
      <c r="B12" s="126" t="s">
        <v>4</v>
      </c>
      <c r="C12" s="129"/>
      <c r="D12" s="11"/>
      <c r="E12" s="46">
        <f>SUM(E13:E14)</f>
        <v>2</v>
      </c>
      <c r="F12" s="113">
        <f>SUM(F13:F14)</f>
        <v>0</v>
      </c>
      <c r="G12" s="48" t="s">
        <v>83</v>
      </c>
    </row>
    <row r="13" spans="2:12">
      <c r="B13" s="111" t="s">
        <v>68</v>
      </c>
      <c r="C13" s="131"/>
      <c r="D13" s="10"/>
      <c r="E13" s="43">
        <v>1</v>
      </c>
      <c r="F13" s="60"/>
      <c r="G13" s="54" t="s">
        <v>83</v>
      </c>
    </row>
    <row r="14" spans="2:12" ht="19.5" thickBot="1">
      <c r="B14" s="124" t="s">
        <v>74</v>
      </c>
      <c r="C14" s="132"/>
      <c r="D14" s="9"/>
      <c r="E14" s="40">
        <v>1</v>
      </c>
      <c r="F14" s="139"/>
      <c r="G14" s="75" t="s">
        <v>83</v>
      </c>
    </row>
    <row r="15" spans="2:12" ht="19.5" thickBot="1">
      <c r="B15" s="126" t="s">
        <v>5</v>
      </c>
      <c r="C15" s="129"/>
      <c r="D15" s="11"/>
      <c r="E15" s="46">
        <f>SUM(E16:E17)</f>
        <v>2</v>
      </c>
      <c r="F15" s="113">
        <f>SUM(F16:F17)</f>
        <v>0</v>
      </c>
      <c r="G15" s="48" t="s">
        <v>83</v>
      </c>
    </row>
    <row r="16" spans="2:12">
      <c r="B16" s="111" t="s">
        <v>68</v>
      </c>
      <c r="C16" s="131"/>
      <c r="D16" s="10"/>
      <c r="E16" s="43">
        <v>1</v>
      </c>
      <c r="F16" s="60"/>
      <c r="G16" s="54" t="s">
        <v>83</v>
      </c>
    </row>
    <row r="17" spans="2:7" ht="19.5" thickBot="1">
      <c r="B17" s="134" t="s">
        <v>74</v>
      </c>
      <c r="C17" s="136"/>
      <c r="D17" s="8"/>
      <c r="E17" s="41">
        <v>1</v>
      </c>
      <c r="F17" s="59"/>
      <c r="G17" s="75" t="s">
        <v>83</v>
      </c>
    </row>
    <row r="18" spans="2:7" ht="19.5" thickBot="1">
      <c r="B18" s="135" t="s">
        <v>34</v>
      </c>
      <c r="C18" s="137"/>
      <c r="D18" s="11"/>
      <c r="E18" s="46">
        <f>SUM(E3+E5+E7+E10+E12+E15)</f>
        <v>17</v>
      </c>
      <c r="F18" s="46">
        <f>SUM(F3+F5+F7+F10+F12+F15)</f>
        <v>0</v>
      </c>
      <c r="G18" s="11"/>
    </row>
    <row r="19" spans="2:7">
      <c r="G19" s="120"/>
    </row>
    <row r="20" spans="2:7">
      <c r="G20" s="121"/>
    </row>
  </sheetData>
  <mergeCells count="17">
    <mergeCell ref="B17:C17"/>
    <mergeCell ref="B18:C18"/>
    <mergeCell ref="B11:C11"/>
    <mergeCell ref="B12:C12"/>
    <mergeCell ref="B13:C13"/>
    <mergeCell ref="B14:C14"/>
    <mergeCell ref="B15:C15"/>
    <mergeCell ref="B10:C10"/>
    <mergeCell ref="B7:C7"/>
    <mergeCell ref="B5:C5"/>
    <mergeCell ref="B6:C6"/>
    <mergeCell ref="B16:C16"/>
    <mergeCell ref="B2:C2"/>
    <mergeCell ref="B3:C3"/>
    <mergeCell ref="B4:C4"/>
    <mergeCell ref="B8:C8"/>
    <mergeCell ref="B9:C9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2"/>
  <sheetViews>
    <sheetView workbookViewId="0">
      <selection activeCell="L3" sqref="L3"/>
    </sheetView>
  </sheetViews>
  <sheetFormatPr defaultRowHeight="18.75"/>
  <sheetData>
    <row r="1" spans="2:11" ht="36" thickBot="1">
      <c r="C1" s="78" t="s">
        <v>22</v>
      </c>
      <c r="D1" s="78"/>
      <c r="E1" s="78"/>
      <c r="F1" s="78"/>
      <c r="G1" s="78"/>
    </row>
    <row r="2" spans="2:11" ht="19.5" thickBot="1">
      <c r="B2" s="30" t="s">
        <v>15</v>
      </c>
      <c r="C2" s="31" t="s">
        <v>16</v>
      </c>
      <c r="D2" s="31" t="s">
        <v>17</v>
      </c>
      <c r="E2" s="31" t="s">
        <v>18</v>
      </c>
      <c r="F2" s="31" t="s">
        <v>19</v>
      </c>
      <c r="G2" s="31" t="s">
        <v>20</v>
      </c>
      <c r="H2" s="32" t="s">
        <v>21</v>
      </c>
      <c r="J2" t="s">
        <v>36</v>
      </c>
    </row>
    <row r="3" spans="2:11">
      <c r="B3" s="27"/>
      <c r="D3" s="28">
        <v>46266</v>
      </c>
      <c r="E3" s="28">
        <f>SUM(D3)+1</f>
        <v>46267</v>
      </c>
      <c r="F3" s="28">
        <f t="shared" ref="F3:H3" si="0">SUM(E3)+1</f>
        <v>46268</v>
      </c>
      <c r="G3" s="28">
        <f t="shared" si="0"/>
        <v>46269</v>
      </c>
      <c r="H3" s="29">
        <f t="shared" si="0"/>
        <v>46270</v>
      </c>
      <c r="J3" s="15"/>
      <c r="K3" t="s">
        <v>23</v>
      </c>
    </row>
    <row r="4" spans="2:11">
      <c r="B4" s="19">
        <f>SUM(H3)+1</f>
        <v>46271</v>
      </c>
      <c r="C4" s="18">
        <f>SUM(B4)+1</f>
        <v>46272</v>
      </c>
      <c r="D4" s="18">
        <f t="shared" ref="D4:H4" si="1">SUM(C4)+1</f>
        <v>46273</v>
      </c>
      <c r="E4" s="50">
        <f t="shared" si="1"/>
        <v>46274</v>
      </c>
      <c r="F4" s="50">
        <f t="shared" si="1"/>
        <v>46275</v>
      </c>
      <c r="G4" s="50">
        <f t="shared" si="1"/>
        <v>46276</v>
      </c>
      <c r="H4" s="51">
        <f t="shared" si="1"/>
        <v>46277</v>
      </c>
      <c r="J4" s="16"/>
      <c r="K4" t="s">
        <v>24</v>
      </c>
    </row>
    <row r="5" spans="2:11">
      <c r="B5" s="52">
        <f>SUM(H4)+1</f>
        <v>46278</v>
      </c>
      <c r="C5" s="50">
        <f>SUM(B5)+1</f>
        <v>46279</v>
      </c>
      <c r="D5" s="50">
        <f t="shared" ref="D5:H5" si="2">SUM(C5)+1</f>
        <v>46280</v>
      </c>
      <c r="E5" s="50">
        <f t="shared" si="2"/>
        <v>46281</v>
      </c>
      <c r="F5" s="50">
        <f t="shared" si="2"/>
        <v>46282</v>
      </c>
      <c r="G5" s="50">
        <f t="shared" si="2"/>
        <v>46283</v>
      </c>
      <c r="H5" s="51">
        <f t="shared" si="2"/>
        <v>46284</v>
      </c>
      <c r="J5" s="17"/>
      <c r="K5" t="s">
        <v>25</v>
      </c>
    </row>
    <row r="6" spans="2:11">
      <c r="B6" s="52">
        <f>SUM(H5)+1</f>
        <v>46285</v>
      </c>
      <c r="C6" s="50">
        <f>SUM(B6)+1</f>
        <v>46286</v>
      </c>
      <c r="D6" s="50">
        <f t="shared" ref="D6:H6" si="3">SUM(C6)+1</f>
        <v>46287</v>
      </c>
      <c r="E6" s="50">
        <f t="shared" si="3"/>
        <v>46288</v>
      </c>
      <c r="F6" s="50">
        <f t="shared" si="3"/>
        <v>46289</v>
      </c>
      <c r="G6" s="50">
        <f t="shared" si="3"/>
        <v>46290</v>
      </c>
      <c r="H6" s="51">
        <f t="shared" si="3"/>
        <v>46291</v>
      </c>
      <c r="J6" s="25"/>
      <c r="K6" t="s">
        <v>26</v>
      </c>
    </row>
    <row r="7" spans="2:11" ht="19.5" thickBot="1">
      <c r="B7" s="76">
        <f>SUM(H6)+1</f>
        <v>46292</v>
      </c>
      <c r="C7" s="77">
        <f>SUM(B7)+1</f>
        <v>46293</v>
      </c>
      <c r="D7" s="77">
        <f t="shared" ref="D7:E7" si="4">SUM(C7)+1</f>
        <v>46294</v>
      </c>
      <c r="E7" s="77">
        <f t="shared" si="4"/>
        <v>46295</v>
      </c>
      <c r="F7" s="1"/>
      <c r="G7" s="1"/>
      <c r="H7" s="2"/>
    </row>
    <row r="8" spans="2:11">
      <c r="B8" s="27"/>
      <c r="C8" s="3"/>
      <c r="D8" s="3"/>
      <c r="E8" s="3"/>
      <c r="F8" s="33">
        <f>SUM(E7)+1</f>
        <v>46296</v>
      </c>
      <c r="G8" s="33">
        <f>SUM(F8)+1</f>
        <v>46297</v>
      </c>
      <c r="H8" s="34">
        <f>SUM(G8)+1</f>
        <v>46298</v>
      </c>
    </row>
    <row r="9" spans="2:11">
      <c r="B9" s="20">
        <f>SUM(H8)+1</f>
        <v>46299</v>
      </c>
      <c r="C9" s="21">
        <f>SUM(B9)+1</f>
        <v>46300</v>
      </c>
      <c r="D9" s="21">
        <f t="shared" ref="D9:H9" si="5">SUM(C9)+1</f>
        <v>46301</v>
      </c>
      <c r="E9" s="21">
        <f t="shared" si="5"/>
        <v>46302</v>
      </c>
      <c r="F9" s="21">
        <f t="shared" si="5"/>
        <v>46303</v>
      </c>
      <c r="G9" s="21">
        <f t="shared" si="5"/>
        <v>46304</v>
      </c>
      <c r="H9" s="22">
        <f t="shared" si="5"/>
        <v>46305</v>
      </c>
    </row>
    <row r="10" spans="2:11">
      <c r="B10" s="24">
        <f t="shared" ref="B10:B12" si="6">SUM(H9)+1</f>
        <v>46306</v>
      </c>
      <c r="C10" s="23">
        <f>SUM(B10)+1</f>
        <v>46307</v>
      </c>
      <c r="D10" s="23">
        <f t="shared" ref="D10:G10" si="7">SUM(C10)+1</f>
        <v>46308</v>
      </c>
      <c r="E10" s="23">
        <f t="shared" si="7"/>
        <v>46309</v>
      </c>
      <c r="F10" s="23">
        <f t="shared" si="7"/>
        <v>46310</v>
      </c>
      <c r="G10" s="26">
        <f t="shared" si="7"/>
        <v>46311</v>
      </c>
      <c r="H10" s="56">
        <f>SUM(G10)+1</f>
        <v>46312</v>
      </c>
    </row>
    <row r="11" spans="2:11">
      <c r="B11" s="55">
        <f t="shared" si="6"/>
        <v>46313</v>
      </c>
      <c r="C11" s="37">
        <f>SUM(B11)+1</f>
        <v>46314</v>
      </c>
      <c r="D11" s="12">
        <f t="shared" ref="D11:F11" si="8">SUM(C11)+1</f>
        <v>46315</v>
      </c>
      <c r="E11" s="12">
        <f t="shared" si="8"/>
        <v>46316</v>
      </c>
      <c r="F11" s="12">
        <f t="shared" si="8"/>
        <v>46317</v>
      </c>
      <c r="G11" s="12">
        <f t="shared" ref="G11" si="9">SUM(F11)+1</f>
        <v>46318</v>
      </c>
      <c r="H11" s="35">
        <f>SUM(G11)+1</f>
        <v>46319</v>
      </c>
    </row>
    <row r="12" spans="2:11" ht="19.5" thickBot="1">
      <c r="B12" s="36">
        <f t="shared" si="6"/>
        <v>46320</v>
      </c>
      <c r="C12" s="13">
        <f>SUM(B12)+1</f>
        <v>46321</v>
      </c>
      <c r="D12" s="13">
        <f t="shared" ref="D12:H12" si="10">SUM(C12)+1</f>
        <v>46322</v>
      </c>
      <c r="E12" s="13">
        <f t="shared" si="10"/>
        <v>46323</v>
      </c>
      <c r="F12" s="13">
        <f t="shared" si="10"/>
        <v>46324</v>
      </c>
      <c r="G12" s="13">
        <f t="shared" si="10"/>
        <v>46325</v>
      </c>
      <c r="H12" s="14">
        <f t="shared" si="10"/>
        <v>46326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3" sqref="D13"/>
    </sheetView>
  </sheetViews>
  <sheetFormatPr defaultRowHeight="18.75"/>
  <sheetData>
    <row r="2" spans="2:2">
      <c r="B2" t="s">
        <v>0</v>
      </c>
    </row>
    <row r="3" spans="2:2">
      <c r="B3" t="s">
        <v>27</v>
      </c>
    </row>
    <row r="4" spans="2:2">
      <c r="B4" t="s">
        <v>28</v>
      </c>
    </row>
    <row r="5" spans="2:2">
      <c r="B5" t="s">
        <v>29</v>
      </c>
    </row>
    <row r="6" spans="2:2">
      <c r="B6" t="s">
        <v>1</v>
      </c>
    </row>
    <row r="7" spans="2:2">
      <c r="B7" t="s">
        <v>35</v>
      </c>
    </row>
    <row r="8" spans="2:2">
      <c r="B8" t="s">
        <v>29</v>
      </c>
    </row>
    <row r="9" spans="2:2">
      <c r="B9" t="s">
        <v>6</v>
      </c>
    </row>
    <row r="10" spans="2:2">
      <c r="B10" t="s">
        <v>31</v>
      </c>
    </row>
    <row r="11" spans="2:2">
      <c r="B11" t="s">
        <v>30</v>
      </c>
    </row>
    <row r="12" spans="2:2">
      <c r="B12" t="s">
        <v>32</v>
      </c>
    </row>
    <row r="13" spans="2:2">
      <c r="B13" t="s">
        <v>33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2026-09-30T09:41:59Z</dcterms:modified>
</cp:coreProperties>
</file>