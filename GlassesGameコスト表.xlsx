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B558CF5A-53E3-4113-BEF2-E34EA1F839BC}" xr6:coauthVersionLast="47" xr6:coauthVersionMax="47" xr10:uidLastSave="{00000000-0000-0000-0000-000000000000}"/>
  <bookViews>
    <workbookView xWindow="-120" yWindow="-16320" windowWidth="29040" windowHeight="15720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1" l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22" i="5"/>
  <c r="E22" i="5"/>
  <c r="F19" i="5"/>
  <c r="E19" i="5"/>
  <c r="E12" i="5"/>
  <c r="F3" i="5"/>
  <c r="E3" i="5"/>
  <c r="F12" i="5"/>
  <c r="J3" i="1"/>
  <c r="K5" i="1" s="1"/>
  <c r="F3" i="1" l="1"/>
  <c r="E28" i="5"/>
  <c r="F28" i="5"/>
  <c r="E20" i="6"/>
  <c r="F43" i="1"/>
  <c r="K4" i="5"/>
  <c r="F12" i="6"/>
  <c r="F20" i="6" s="1"/>
  <c r="K4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5" i="6"/>
  <c r="L4" i="6"/>
</calcChain>
</file>

<file path=xl/sharedStrings.xml><?xml version="1.0" encoding="utf-8"?>
<sst xmlns="http://schemas.openxmlformats.org/spreadsheetml/2006/main" count="231" uniqueCount="96">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</sst>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5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5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4" borderId="8" xfId="0" applyNumberFormat="1" applyFill="1" applyBorder="1"/>
    <xf numFmtId="56" fontId="0" fillId="4" borderId="9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1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2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7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0" fontId="0" fillId="0" borderId="7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6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28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9" xfId="0" applyBorder="1" applyAlignment="1">
      <alignment horizontal="center" vertical="center"/>
    </xf>
    <xf numFmtId="0" fontId="0" fillId="0" borderId="39" xfId="0" applyBorder="1" applyAlignment="1">
      <alignment horizontal="right" vertical="center"/>
    </xf>
    <xf numFmtId="0" fontId="0" fillId="0" borderId="36" xfId="0" applyBorder="1" applyAlignment="1">
      <alignment horizontal="right" vertical="center"/>
    </xf>
    <xf numFmtId="0" fontId="0" fillId="11" borderId="33" xfId="0" applyFill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12" borderId="32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3" fillId="0" borderId="26" xfId="0" applyFont="1" applyBorder="1" applyAlignment="1">
      <alignment horizontal="center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0" borderId="47" xfId="0" applyBorder="1" applyAlignment="1">
      <alignment horizontal="right" vertical="center"/>
    </xf>
    <xf numFmtId="0" fontId="0" fillId="12" borderId="48" xfId="0" applyFill="1" applyBorder="1" applyAlignment="1">
      <alignment horizontal="center" vertical="center"/>
    </xf>
    <xf numFmtId="0" fontId="0" fillId="12" borderId="49" xfId="0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0" xfId="0" applyBorder="1" applyAlignment="1">
      <alignment horizontal="right" vertical="center"/>
    </xf>
    <xf numFmtId="0" fontId="0" fillId="0" borderId="47" xfId="0" applyBorder="1" applyAlignment="1">
      <alignment horizontal="center" vertical="center"/>
    </xf>
    <xf numFmtId="0" fontId="0" fillId="0" borderId="0" xfId="0" applyFill="1"/>
    <xf numFmtId="0" fontId="0" fillId="0" borderId="0" xfId="0" applyFill="1" applyBorder="1" applyAlignment="1">
      <alignment horizontal="center" vertical="center"/>
    </xf>
    <xf numFmtId="56" fontId="0" fillId="5" borderId="3" xfId="0" applyNumberFormat="1" applyFill="1" applyBorder="1"/>
    <xf numFmtId="0" fontId="0" fillId="12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2" fillId="12" borderId="13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2" fillId="12" borderId="24" xfId="0" applyFont="1" applyFill="1" applyBorder="1" applyAlignment="1">
      <alignment horizontal="center" vertical="center"/>
    </xf>
    <xf numFmtId="0" fontId="0" fillId="0" borderId="51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0" borderId="46" xfId="0" applyFill="1" applyBorder="1" applyAlignment="1">
      <alignment horizontal="center" vertical="center"/>
    </xf>
    <xf numFmtId="0" fontId="0" fillId="0" borderId="35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7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33" xfId="0" applyBorder="1"/>
    <xf numFmtId="0" fontId="2" fillId="12" borderId="1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12" borderId="52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topLeftCell="A13" workbookViewId="0">
      <selection activeCell="B34" sqref="B34:C34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81" t="s">
        <v>13</v>
      </c>
      <c r="C2" s="115"/>
      <c r="D2" s="77" t="s">
        <v>9</v>
      </c>
      <c r="E2" s="10" t="s">
        <v>7</v>
      </c>
      <c r="F2" s="10" t="s">
        <v>8</v>
      </c>
      <c r="G2" s="10" t="s">
        <v>79</v>
      </c>
    </row>
    <row r="3" spans="2:19" ht="19.5" thickBot="1">
      <c r="B3" s="83" t="s">
        <v>0</v>
      </c>
      <c r="C3" s="113"/>
      <c r="D3" s="77" t="s">
        <v>12</v>
      </c>
      <c r="E3" s="40">
        <f>SUM(E4:E15)</f>
        <v>21</v>
      </c>
      <c r="F3" s="40">
        <f>SUM(F4:F15)</f>
        <v>23</v>
      </c>
      <c r="G3" s="10" t="s">
        <v>84</v>
      </c>
      <c r="I3" s="50" t="s">
        <v>74</v>
      </c>
      <c r="J3" s="53">
        <f ca="1">TODAY()</f>
        <v>46303</v>
      </c>
      <c r="K3" s="41" t="s">
        <v>83</v>
      </c>
    </row>
    <row r="4" spans="2:19" ht="19.5" thickBot="1">
      <c r="B4" s="85" t="s">
        <v>37</v>
      </c>
      <c r="C4" s="111"/>
      <c r="D4" s="155"/>
      <c r="E4" s="39">
        <f>SUM(E5:E7)</f>
        <v>4</v>
      </c>
      <c r="F4" s="39">
        <f>SUM(F5:F7)</f>
        <v>5</v>
      </c>
      <c r="G4" s="9" t="s">
        <v>84</v>
      </c>
      <c r="I4" s="75" t="s">
        <v>75</v>
      </c>
      <c r="J4" s="53">
        <v>46295</v>
      </c>
      <c r="K4" s="65" t="str">
        <f ca="1">SUM($J4-J3)&amp; "日"</f>
        <v>-8日</v>
      </c>
    </row>
    <row r="5" spans="2:19" ht="19.5" thickBot="1">
      <c r="B5" s="102" t="s">
        <v>38</v>
      </c>
      <c r="C5" s="103"/>
      <c r="D5" s="79"/>
      <c r="E5" s="35">
        <v>2</v>
      </c>
      <c r="F5" s="35">
        <v>2</v>
      </c>
      <c r="G5" s="9" t="s">
        <v>84</v>
      </c>
      <c r="I5" s="72" t="s">
        <v>73</v>
      </c>
      <c r="J5" s="73">
        <v>46314</v>
      </c>
      <c r="K5" s="74" t="str">
        <f ca="1">SUM(J5-J3)&amp; "日"</f>
        <v>11日</v>
      </c>
      <c r="R5" s="58"/>
      <c r="S5" s="59"/>
    </row>
    <row r="6" spans="2:19">
      <c r="B6" s="102" t="s">
        <v>39</v>
      </c>
      <c r="C6" s="103"/>
      <c r="D6" s="79"/>
      <c r="E6" s="35">
        <v>1</v>
      </c>
      <c r="F6" s="35">
        <v>2</v>
      </c>
      <c r="G6" s="9" t="s">
        <v>84</v>
      </c>
      <c r="R6" s="58"/>
      <c r="S6" s="59"/>
    </row>
    <row r="7" spans="2:19">
      <c r="B7" s="102" t="s">
        <v>86</v>
      </c>
      <c r="C7" s="103"/>
      <c r="D7" s="79"/>
      <c r="E7" s="35">
        <v>1</v>
      </c>
      <c r="F7" s="39">
        <v>1</v>
      </c>
      <c r="G7" s="9" t="s">
        <v>84</v>
      </c>
      <c r="R7" s="58"/>
      <c r="S7" s="59"/>
    </row>
    <row r="8" spans="2:19">
      <c r="B8" s="89" t="s">
        <v>85</v>
      </c>
      <c r="C8" s="112"/>
      <c r="D8" s="79"/>
      <c r="E8" s="35">
        <v>2</v>
      </c>
      <c r="F8" s="39">
        <v>2</v>
      </c>
      <c r="G8" s="9" t="s">
        <v>84</v>
      </c>
    </row>
    <row r="9" spans="2:19">
      <c r="B9" s="89" t="s">
        <v>28</v>
      </c>
      <c r="C9" s="112"/>
      <c r="D9" s="80"/>
      <c r="E9" s="36">
        <v>2</v>
      </c>
      <c r="F9" s="36">
        <v>2</v>
      </c>
      <c r="G9" s="9" t="s">
        <v>84</v>
      </c>
    </row>
    <row r="10" spans="2:19">
      <c r="B10" s="89" t="s">
        <v>40</v>
      </c>
      <c r="C10" s="112"/>
      <c r="D10" s="80"/>
      <c r="E10" s="36">
        <v>2</v>
      </c>
      <c r="F10" s="36">
        <v>2</v>
      </c>
      <c r="G10" s="9" t="s">
        <v>84</v>
      </c>
    </row>
    <row r="11" spans="2:19">
      <c r="B11" s="94" t="s">
        <v>81</v>
      </c>
      <c r="C11" s="116"/>
      <c r="D11" s="79"/>
      <c r="E11" s="35">
        <v>1</v>
      </c>
      <c r="F11" s="35">
        <v>1</v>
      </c>
      <c r="G11" s="6" t="s">
        <v>84</v>
      </c>
    </row>
    <row r="12" spans="2:19">
      <c r="B12" s="89" t="s">
        <v>41</v>
      </c>
      <c r="C12" s="112"/>
      <c r="D12" s="79"/>
      <c r="E12" s="35">
        <f>SUM(E13:E15)</f>
        <v>3</v>
      </c>
      <c r="F12" s="35">
        <f>SUM(F13:F15)</f>
        <v>3</v>
      </c>
      <c r="G12" s="6" t="s">
        <v>84</v>
      </c>
    </row>
    <row r="13" spans="2:19">
      <c r="B13" s="106" t="s">
        <v>42</v>
      </c>
      <c r="C13" s="107"/>
      <c r="D13" s="79"/>
      <c r="E13" s="35">
        <v>1</v>
      </c>
      <c r="F13" s="35">
        <v>1</v>
      </c>
      <c r="G13" s="6" t="s">
        <v>84</v>
      </c>
    </row>
    <row r="14" spans="2:19">
      <c r="B14" s="102" t="s">
        <v>43</v>
      </c>
      <c r="C14" s="103"/>
      <c r="D14" s="79"/>
      <c r="E14" s="35">
        <v>1</v>
      </c>
      <c r="F14" s="35">
        <v>1</v>
      </c>
      <c r="G14" s="6" t="s">
        <v>84</v>
      </c>
      <c r="R14" s="58"/>
      <c r="S14" s="59"/>
    </row>
    <row r="15" spans="2:19" ht="19.5" thickBot="1">
      <c r="B15" s="104" t="s">
        <v>44</v>
      </c>
      <c r="C15" s="105"/>
      <c r="D15" s="80"/>
      <c r="E15" s="36">
        <v>1</v>
      </c>
      <c r="F15" s="36">
        <v>1</v>
      </c>
      <c r="G15" s="6" t="s">
        <v>84</v>
      </c>
    </row>
    <row r="16" spans="2:19" ht="19.5" thickBot="1">
      <c r="B16" s="83" t="s">
        <v>1</v>
      </c>
      <c r="C16" s="113"/>
      <c r="D16" s="76" t="s">
        <v>11</v>
      </c>
      <c r="E16" s="40">
        <f>SUM(E17:E25)</f>
        <v>16</v>
      </c>
      <c r="F16" s="40">
        <v>8</v>
      </c>
      <c r="G16" s="10" t="s">
        <v>84</v>
      </c>
    </row>
    <row r="17" spans="2:7">
      <c r="B17" s="85" t="s">
        <v>45</v>
      </c>
      <c r="C17" s="111"/>
      <c r="D17" s="155"/>
      <c r="E17" s="39">
        <v>3</v>
      </c>
      <c r="F17" s="39">
        <v>1</v>
      </c>
      <c r="G17" s="9" t="s">
        <v>84</v>
      </c>
    </row>
    <row r="18" spans="2:7">
      <c r="B18" s="89" t="s">
        <v>46</v>
      </c>
      <c r="C18" s="112"/>
      <c r="D18" s="79"/>
      <c r="E18" s="35">
        <v>3</v>
      </c>
      <c r="F18" s="35">
        <v>1</v>
      </c>
      <c r="G18" s="6" t="s">
        <v>84</v>
      </c>
    </row>
    <row r="19" spans="2:7">
      <c r="B19" s="89" t="s">
        <v>47</v>
      </c>
      <c r="C19" s="112"/>
      <c r="D19" s="79"/>
      <c r="E19" s="35">
        <v>3</v>
      </c>
      <c r="F19" s="35">
        <v>1</v>
      </c>
      <c r="G19" s="6" t="s">
        <v>84</v>
      </c>
    </row>
    <row r="20" spans="2:7">
      <c r="B20" s="89" t="s">
        <v>48</v>
      </c>
      <c r="C20" s="112"/>
      <c r="D20" s="80"/>
      <c r="E20" s="35">
        <v>3</v>
      </c>
      <c r="F20" s="35">
        <v>1</v>
      </c>
      <c r="G20" s="6" t="s">
        <v>84</v>
      </c>
    </row>
    <row r="21" spans="2:7">
      <c r="B21" s="89" t="s">
        <v>49</v>
      </c>
      <c r="C21" s="112"/>
      <c r="D21" s="79"/>
      <c r="E21" s="68">
        <v>1</v>
      </c>
      <c r="F21" s="35">
        <v>1</v>
      </c>
      <c r="G21" s="6" t="s">
        <v>84</v>
      </c>
    </row>
    <row r="22" spans="2:7">
      <c r="B22" s="94" t="s">
        <v>41</v>
      </c>
      <c r="C22" s="116"/>
      <c r="D22" s="79"/>
      <c r="E22" s="35"/>
      <c r="F22" s="35">
        <v>3</v>
      </c>
      <c r="G22" s="6" t="s">
        <v>84</v>
      </c>
    </row>
    <row r="23" spans="2:7">
      <c r="B23" s="106" t="s">
        <v>42</v>
      </c>
      <c r="C23" s="107"/>
      <c r="D23" s="79"/>
      <c r="E23" s="35">
        <v>1</v>
      </c>
      <c r="F23" s="35">
        <v>1</v>
      </c>
      <c r="G23" s="6" t="s">
        <v>84</v>
      </c>
    </row>
    <row r="24" spans="2:7">
      <c r="B24" s="106" t="s">
        <v>43</v>
      </c>
      <c r="C24" s="107"/>
      <c r="D24" s="79"/>
      <c r="E24" s="35">
        <v>1</v>
      </c>
      <c r="F24" s="35">
        <v>1</v>
      </c>
      <c r="G24" s="6" t="s">
        <v>84</v>
      </c>
    </row>
    <row r="25" spans="2:7" ht="19.5" thickBot="1">
      <c r="B25" s="108" t="s">
        <v>50</v>
      </c>
      <c r="C25" s="109"/>
      <c r="D25" s="162"/>
      <c r="E25" s="37">
        <v>1</v>
      </c>
      <c r="F25" s="37">
        <v>1</v>
      </c>
      <c r="G25" s="6" t="s">
        <v>84</v>
      </c>
    </row>
    <row r="26" spans="2:7" ht="19.5" thickBot="1">
      <c r="B26" s="83" t="s">
        <v>2</v>
      </c>
      <c r="C26" s="113"/>
      <c r="D26" s="76" t="s">
        <v>10</v>
      </c>
      <c r="E26" s="40">
        <f>SUM(E27:E31)</f>
        <v>16</v>
      </c>
      <c r="F26" s="40">
        <f>SUM(F27,F28,F31)</f>
        <v>11</v>
      </c>
      <c r="G26" s="10" t="s">
        <v>80</v>
      </c>
    </row>
    <row r="27" spans="2:7">
      <c r="B27" s="117" t="s">
        <v>92</v>
      </c>
      <c r="C27" s="118"/>
      <c r="D27" s="155"/>
      <c r="E27" s="39">
        <v>5</v>
      </c>
      <c r="F27" s="39">
        <v>5</v>
      </c>
      <c r="G27" s="9" t="s">
        <v>84</v>
      </c>
    </row>
    <row r="28" spans="2:7">
      <c r="B28" s="94" t="s">
        <v>51</v>
      </c>
      <c r="C28" s="116"/>
      <c r="D28" s="79"/>
      <c r="E28" s="35">
        <f>SUM(E29:E30)</f>
        <v>4</v>
      </c>
      <c r="F28" s="35">
        <f>SUM(F29:F30)</f>
        <v>3</v>
      </c>
      <c r="G28" s="9" t="s">
        <v>84</v>
      </c>
    </row>
    <row r="29" spans="2:7">
      <c r="B29" s="106" t="s">
        <v>52</v>
      </c>
      <c r="C29" s="107"/>
      <c r="D29" s="79"/>
      <c r="E29" s="35">
        <v>2</v>
      </c>
      <c r="F29" s="35">
        <v>2</v>
      </c>
      <c r="G29" s="9" t="s">
        <v>84</v>
      </c>
    </row>
    <row r="30" spans="2:7">
      <c r="B30" s="106" t="s">
        <v>53</v>
      </c>
      <c r="C30" s="107"/>
      <c r="D30" s="79"/>
      <c r="E30" s="35">
        <v>2</v>
      </c>
      <c r="F30" s="35">
        <v>1</v>
      </c>
      <c r="G30" s="9" t="s">
        <v>84</v>
      </c>
    </row>
    <row r="31" spans="2:7" ht="19.5" thickBot="1">
      <c r="B31" s="87" t="s">
        <v>54</v>
      </c>
      <c r="C31" s="110"/>
      <c r="D31" s="80"/>
      <c r="E31" s="36">
        <v>3</v>
      </c>
      <c r="F31" s="36">
        <v>3</v>
      </c>
      <c r="G31" s="9" t="s">
        <v>84</v>
      </c>
    </row>
    <row r="32" spans="2:7" ht="19.5" thickBot="1">
      <c r="B32" s="83" t="s">
        <v>59</v>
      </c>
      <c r="C32" s="113"/>
      <c r="D32" s="76" t="s">
        <v>14</v>
      </c>
      <c r="E32" s="40">
        <f>SUM(E33:E41)</f>
        <v>11</v>
      </c>
      <c r="F32" s="40">
        <f>SUM(F34,F36,F37,F40,F41)</f>
        <v>5</v>
      </c>
      <c r="G32" s="10" t="s">
        <v>84</v>
      </c>
    </row>
    <row r="33" spans="2:7">
      <c r="B33" s="85" t="s">
        <v>58</v>
      </c>
      <c r="C33" s="111"/>
      <c r="D33" s="155"/>
      <c r="E33" s="39"/>
      <c r="F33" s="39"/>
      <c r="G33" s="9" t="s">
        <v>84</v>
      </c>
    </row>
    <row r="34" spans="2:7">
      <c r="B34" s="102" t="s">
        <v>55</v>
      </c>
      <c r="C34" s="103"/>
      <c r="D34" s="155"/>
      <c r="E34" s="39">
        <v>2</v>
      </c>
      <c r="F34" s="39">
        <v>1</v>
      </c>
      <c r="G34" s="6" t="s">
        <v>84</v>
      </c>
    </row>
    <row r="35" spans="2:7">
      <c r="B35" s="100" t="s">
        <v>4</v>
      </c>
      <c r="C35" s="114"/>
      <c r="D35" s="79"/>
      <c r="E35" s="35"/>
      <c r="F35" s="35"/>
      <c r="G35" s="6" t="s">
        <v>84</v>
      </c>
    </row>
    <row r="36" spans="2:7">
      <c r="B36" s="89" t="s">
        <v>56</v>
      </c>
      <c r="C36" s="112"/>
      <c r="D36" s="79"/>
      <c r="E36" s="35">
        <v>2</v>
      </c>
      <c r="F36" s="35">
        <v>1</v>
      </c>
      <c r="G36" s="6" t="s">
        <v>84</v>
      </c>
    </row>
    <row r="37" spans="2:7">
      <c r="B37" s="89" t="s">
        <v>57</v>
      </c>
      <c r="C37" s="112"/>
      <c r="D37" s="79"/>
      <c r="E37" s="35">
        <v>2</v>
      </c>
      <c r="F37" s="35">
        <v>1</v>
      </c>
      <c r="G37" s="6" t="s">
        <v>84</v>
      </c>
    </row>
    <row r="38" spans="2:7">
      <c r="B38" s="89" t="s">
        <v>93</v>
      </c>
      <c r="C38" s="112"/>
      <c r="D38" s="79"/>
      <c r="E38" s="35"/>
      <c r="F38" s="35"/>
      <c r="G38" s="6"/>
    </row>
    <row r="39" spans="2:7">
      <c r="B39" s="100" t="s">
        <v>5</v>
      </c>
      <c r="C39" s="114"/>
      <c r="D39" s="79"/>
      <c r="E39" s="35"/>
      <c r="F39" s="35"/>
      <c r="G39" s="6" t="s">
        <v>84</v>
      </c>
    </row>
    <row r="40" spans="2:7">
      <c r="B40" s="161" t="s">
        <v>60</v>
      </c>
      <c r="C40" s="160"/>
      <c r="D40" s="156"/>
      <c r="E40" s="35">
        <v>2</v>
      </c>
      <c r="F40" s="35">
        <v>1</v>
      </c>
      <c r="G40" s="6" t="s">
        <v>84</v>
      </c>
    </row>
    <row r="41" spans="2:7">
      <c r="B41" s="94" t="s">
        <v>61</v>
      </c>
      <c r="C41" s="144"/>
      <c r="D41" s="156"/>
      <c r="E41" s="35">
        <v>3</v>
      </c>
      <c r="F41" s="35">
        <v>1</v>
      </c>
      <c r="G41" s="6" t="s">
        <v>84</v>
      </c>
    </row>
    <row r="42" spans="2:7" ht="19.5" thickBot="1">
      <c r="B42" s="128" t="s">
        <v>93</v>
      </c>
      <c r="C42" s="163"/>
      <c r="D42" s="78"/>
      <c r="E42" s="36"/>
      <c r="F42" s="36"/>
      <c r="G42" s="8"/>
    </row>
    <row r="43" spans="2:7" ht="19.5" thickBot="1">
      <c r="B43" s="98" t="s">
        <v>82</v>
      </c>
      <c r="C43" s="164"/>
      <c r="D43" s="76"/>
      <c r="E43" s="40">
        <f>SUM(E3+E16+E26+F32)</f>
        <v>58</v>
      </c>
      <c r="F43" s="40">
        <f>SUM(F3+F16+F26+F32)</f>
        <v>47</v>
      </c>
      <c r="G43" s="10" t="s">
        <v>84</v>
      </c>
    </row>
  </sheetData>
  <mergeCells count="42">
    <mergeCell ref="B38:C38"/>
    <mergeCell ref="B42:C42"/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28"/>
  <sheetViews>
    <sheetView tabSelected="1" topLeftCell="A7" workbookViewId="0">
      <selection activeCell="B26" sqref="B26:C26"/>
    </sheetView>
  </sheetViews>
  <sheetFormatPr defaultRowHeight="18.75"/>
  <cols>
    <col min="3" max="3" width="18.125" customWidth="1"/>
    <col min="9" max="9" width="19.125" bestFit="1" customWidth="1"/>
    <col min="10" max="10" width="11.375" bestFit="1" customWidth="1"/>
  </cols>
  <sheetData>
    <row r="1" spans="2:13" ht="19.5" thickBot="1"/>
    <row r="2" spans="2:13" ht="19.5" thickBot="1">
      <c r="B2" s="81" t="s">
        <v>62</v>
      </c>
      <c r="C2" s="82"/>
      <c r="D2" s="10" t="s">
        <v>9</v>
      </c>
      <c r="E2" s="10" t="s">
        <v>7</v>
      </c>
      <c r="F2" s="76" t="s">
        <v>8</v>
      </c>
      <c r="G2" s="10" t="s">
        <v>79</v>
      </c>
      <c r="I2" s="50" t="s">
        <v>74</v>
      </c>
      <c r="J2" s="53">
        <f ca="1">TODAY()</f>
        <v>46303</v>
      </c>
      <c r="K2" s="41" t="s">
        <v>83</v>
      </c>
    </row>
    <row r="3" spans="2:13" ht="19.5" thickBot="1">
      <c r="B3" s="83" t="s">
        <v>0</v>
      </c>
      <c r="C3" s="84"/>
      <c r="D3" s="10" t="s">
        <v>12</v>
      </c>
      <c r="E3" s="40">
        <f>SUM(E4:E7)</f>
        <v>8</v>
      </c>
      <c r="F3" s="64">
        <f>SUM(F4:F7)</f>
        <v>9</v>
      </c>
      <c r="G3" s="10" t="s">
        <v>80</v>
      </c>
      <c r="I3" s="67" t="s">
        <v>76</v>
      </c>
      <c r="J3" s="52">
        <v>46305</v>
      </c>
      <c r="K3" s="48" t="str">
        <f ca="1">SUM($J3-J2)&amp; "日"</f>
        <v>2日</v>
      </c>
    </row>
    <row r="4" spans="2:13" ht="19.5" thickBot="1">
      <c r="B4" s="85" t="s">
        <v>64</v>
      </c>
      <c r="C4" s="86"/>
      <c r="D4" s="5"/>
      <c r="E4" s="38">
        <v>2</v>
      </c>
      <c r="F4" s="149">
        <v>2</v>
      </c>
      <c r="G4" s="9" t="s">
        <v>84</v>
      </c>
      <c r="I4" s="72" t="s">
        <v>73</v>
      </c>
      <c r="J4" s="73">
        <v>46314</v>
      </c>
      <c r="K4" s="74" t="str">
        <f ca="1">SUM(J4-J2)&amp; "日"</f>
        <v>11日</v>
      </c>
    </row>
    <row r="5" spans="2:13">
      <c r="B5" s="91" t="s">
        <v>87</v>
      </c>
      <c r="C5" s="92"/>
      <c r="D5" s="6"/>
      <c r="E5" s="35">
        <v>2</v>
      </c>
      <c r="F5" s="57">
        <v>2</v>
      </c>
      <c r="G5" s="9" t="s">
        <v>84</v>
      </c>
      <c r="I5" s="4"/>
      <c r="J5" s="58"/>
      <c r="K5" s="59"/>
    </row>
    <row r="6" spans="2:13">
      <c r="B6" s="89" t="s">
        <v>65</v>
      </c>
      <c r="C6" s="90"/>
      <c r="D6" s="6"/>
      <c r="E6" s="35">
        <v>2</v>
      </c>
      <c r="F6" s="57">
        <v>5</v>
      </c>
      <c r="G6" s="9" t="s">
        <v>84</v>
      </c>
      <c r="I6" s="4"/>
      <c r="J6" s="58"/>
      <c r="K6" s="59"/>
    </row>
    <row r="7" spans="2:13">
      <c r="B7" s="87" t="s">
        <v>68</v>
      </c>
      <c r="C7" s="88"/>
      <c r="D7" s="8"/>
      <c r="E7" s="36">
        <v>2</v>
      </c>
      <c r="F7" s="150"/>
      <c r="G7" s="6" t="s">
        <v>80</v>
      </c>
      <c r="I7" s="93" t="s">
        <v>88</v>
      </c>
      <c r="J7" s="93"/>
      <c r="K7" s="93"/>
      <c r="L7" s="93"/>
      <c r="M7" s="93"/>
    </row>
    <row r="8" spans="2:13">
      <c r="B8" s="145" t="s">
        <v>89</v>
      </c>
      <c r="C8" s="147"/>
      <c r="D8" s="6"/>
      <c r="E8" s="35">
        <v>0.5</v>
      </c>
      <c r="F8" s="57"/>
      <c r="G8" s="6" t="s">
        <v>80</v>
      </c>
    </row>
    <row r="9" spans="2:13">
      <c r="B9" s="145" t="s">
        <v>90</v>
      </c>
      <c r="C9" s="147"/>
      <c r="D9" s="6"/>
      <c r="E9" s="35">
        <v>0.5</v>
      </c>
      <c r="F9" s="57"/>
      <c r="G9" s="6" t="s">
        <v>80</v>
      </c>
    </row>
    <row r="10" spans="2:13">
      <c r="B10" s="145" t="s">
        <v>91</v>
      </c>
      <c r="C10" s="147"/>
      <c r="D10" s="6"/>
      <c r="E10" s="35">
        <v>0.5</v>
      </c>
      <c r="F10" s="57"/>
      <c r="G10" s="6" t="s">
        <v>80</v>
      </c>
    </row>
    <row r="11" spans="2:13" ht="19.5" thickBot="1">
      <c r="B11" s="152" t="s">
        <v>28</v>
      </c>
      <c r="C11" s="153"/>
      <c r="D11" s="8"/>
      <c r="E11" s="36">
        <v>0.5</v>
      </c>
      <c r="F11" s="150"/>
      <c r="G11" s="8" t="s">
        <v>80</v>
      </c>
    </row>
    <row r="12" spans="2:13" ht="19.5" thickBot="1">
      <c r="B12" s="83" t="s">
        <v>1</v>
      </c>
      <c r="C12" s="84"/>
      <c r="D12" s="10" t="s">
        <v>11</v>
      </c>
      <c r="E12" s="40">
        <f>SUM(E13:E16)</f>
        <v>11</v>
      </c>
      <c r="F12" s="64">
        <f>SUM(F13:F16)</f>
        <v>3</v>
      </c>
      <c r="G12" s="10" t="s">
        <v>80</v>
      </c>
    </row>
    <row r="13" spans="2:13">
      <c r="B13" s="85" t="s">
        <v>64</v>
      </c>
      <c r="C13" s="86"/>
      <c r="D13" s="9"/>
      <c r="E13" s="39">
        <v>2</v>
      </c>
      <c r="F13" s="63">
        <v>1</v>
      </c>
      <c r="G13" s="9" t="s">
        <v>84</v>
      </c>
    </row>
    <row r="14" spans="2:13">
      <c r="B14" s="89" t="s">
        <v>94</v>
      </c>
      <c r="C14" s="112"/>
      <c r="D14" s="9"/>
      <c r="E14" s="39">
        <v>4</v>
      </c>
      <c r="F14" s="63"/>
      <c r="G14" s="9" t="s">
        <v>80</v>
      </c>
    </row>
    <row r="15" spans="2:13">
      <c r="B15" s="89" t="s">
        <v>65</v>
      </c>
      <c r="C15" s="90"/>
      <c r="D15" s="6"/>
      <c r="E15" s="35">
        <v>3</v>
      </c>
      <c r="F15" s="57">
        <v>2</v>
      </c>
      <c r="G15" s="9" t="s">
        <v>84</v>
      </c>
    </row>
    <row r="16" spans="2:13">
      <c r="B16" s="94" t="s">
        <v>69</v>
      </c>
      <c r="C16" s="95"/>
      <c r="D16" s="6"/>
      <c r="E16" s="35">
        <v>2</v>
      </c>
      <c r="F16" s="57"/>
      <c r="G16" s="6" t="s">
        <v>80</v>
      </c>
    </row>
    <row r="17" spans="2:7">
      <c r="B17" s="154" t="s">
        <v>89</v>
      </c>
      <c r="C17" s="151"/>
      <c r="D17" s="6"/>
      <c r="E17" s="35">
        <v>1</v>
      </c>
      <c r="F17" s="57"/>
      <c r="G17" s="6" t="s">
        <v>80</v>
      </c>
    </row>
    <row r="18" spans="2:7" ht="19.5" thickBot="1">
      <c r="B18" s="157" t="s">
        <v>47</v>
      </c>
      <c r="C18" s="158"/>
      <c r="D18" s="8"/>
      <c r="E18" s="36">
        <v>1</v>
      </c>
      <c r="F18" s="150"/>
      <c r="G18" s="8" t="s">
        <v>80</v>
      </c>
    </row>
    <row r="19" spans="2:7" ht="19.5" thickBot="1">
      <c r="B19" s="83" t="s">
        <v>2</v>
      </c>
      <c r="C19" s="84"/>
      <c r="D19" s="10" t="s">
        <v>10</v>
      </c>
      <c r="E19" s="40">
        <f>SUM(E20:E21)</f>
        <v>3</v>
      </c>
      <c r="F19" s="64">
        <f>SUM(F20:F21)</f>
        <v>0</v>
      </c>
      <c r="G19" s="10" t="s">
        <v>80</v>
      </c>
    </row>
    <row r="20" spans="2:7">
      <c r="B20" s="94" t="s">
        <v>95</v>
      </c>
      <c r="C20" s="95"/>
      <c r="D20" s="6"/>
      <c r="E20" s="35">
        <v>1</v>
      </c>
      <c r="F20" s="57"/>
      <c r="G20" s="6" t="s">
        <v>80</v>
      </c>
    </row>
    <row r="21" spans="2:7" ht="19.5" thickBot="1">
      <c r="B21" s="96" t="s">
        <v>33</v>
      </c>
      <c r="C21" s="97"/>
      <c r="D21" s="8"/>
      <c r="E21" s="36">
        <v>2</v>
      </c>
      <c r="F21" s="150"/>
      <c r="G21" s="8" t="s">
        <v>80</v>
      </c>
    </row>
    <row r="22" spans="2:7" ht="19.5" thickBot="1">
      <c r="B22" s="83" t="s">
        <v>59</v>
      </c>
      <c r="C22" s="84"/>
      <c r="D22" s="10" t="s">
        <v>14</v>
      </c>
      <c r="E22" s="40">
        <f>SUM(E23+E25+E27)</f>
        <v>9</v>
      </c>
      <c r="F22" s="64">
        <f>SUM(F23+F25+F27)</f>
        <v>0</v>
      </c>
      <c r="G22" s="10" t="s">
        <v>80</v>
      </c>
    </row>
    <row r="23" spans="2:7">
      <c r="B23" s="85" t="s">
        <v>63</v>
      </c>
      <c r="C23" s="86"/>
      <c r="D23" s="9"/>
      <c r="E23" s="39">
        <v>5</v>
      </c>
      <c r="F23" s="63"/>
      <c r="G23" s="6" t="s">
        <v>80</v>
      </c>
    </row>
    <row r="24" spans="2:7">
      <c r="B24" s="100" t="s">
        <v>4</v>
      </c>
      <c r="C24" s="101"/>
      <c r="D24" s="6"/>
      <c r="E24" s="35"/>
      <c r="F24" s="57"/>
      <c r="G24" s="6" t="s">
        <v>80</v>
      </c>
    </row>
    <row r="25" spans="2:7">
      <c r="B25" s="89" t="s">
        <v>66</v>
      </c>
      <c r="C25" s="90"/>
      <c r="D25" s="6"/>
      <c r="E25" s="35">
        <v>2</v>
      </c>
      <c r="F25" s="57"/>
      <c r="G25" s="6" t="s">
        <v>80</v>
      </c>
    </row>
    <row r="26" spans="2:7">
      <c r="B26" s="100" t="s">
        <v>5</v>
      </c>
      <c r="C26" s="101"/>
      <c r="D26" s="6"/>
      <c r="E26" s="35"/>
      <c r="F26" s="57"/>
      <c r="G26" s="6" t="s">
        <v>80</v>
      </c>
    </row>
    <row r="27" spans="2:7" ht="19.5" thickBot="1">
      <c r="B27" s="146" t="s">
        <v>66</v>
      </c>
      <c r="C27" s="148"/>
      <c r="D27" s="6"/>
      <c r="E27" s="37">
        <v>2</v>
      </c>
      <c r="F27" s="57"/>
      <c r="G27" s="7" t="s">
        <v>80</v>
      </c>
    </row>
    <row r="28" spans="2:7" ht="19.5" thickBot="1">
      <c r="B28" s="98" t="s">
        <v>34</v>
      </c>
      <c r="C28" s="99"/>
      <c r="D28" s="10"/>
      <c r="E28" s="40">
        <f>SUM(E3+E12+E19+E22)</f>
        <v>31</v>
      </c>
      <c r="F28" s="64">
        <f>SUM(F3+F12+F19+F22)</f>
        <v>12</v>
      </c>
      <c r="G28" s="159"/>
    </row>
  </sheetData>
  <mergeCells count="28">
    <mergeCell ref="B8:C8"/>
    <mergeCell ref="B9:C9"/>
    <mergeCell ref="B10:C10"/>
    <mergeCell ref="B11:C11"/>
    <mergeCell ref="B17:C17"/>
    <mergeCell ref="B14:C14"/>
    <mergeCell ref="I7:M7"/>
    <mergeCell ref="B12:C12"/>
    <mergeCell ref="B13:C13"/>
    <mergeCell ref="B15:C15"/>
    <mergeCell ref="B16:C16"/>
    <mergeCell ref="B20:C20"/>
    <mergeCell ref="B21:C21"/>
    <mergeCell ref="B22:C22"/>
    <mergeCell ref="B19:C19"/>
    <mergeCell ref="B27:C27"/>
    <mergeCell ref="B28:C28"/>
    <mergeCell ref="B23:C23"/>
    <mergeCell ref="B24:C24"/>
    <mergeCell ref="B25:C25"/>
    <mergeCell ref="B26:C26"/>
    <mergeCell ref="B18:C18"/>
    <mergeCell ref="B2:C2"/>
    <mergeCell ref="B3:C3"/>
    <mergeCell ref="B4:C4"/>
    <mergeCell ref="B7:C7"/>
    <mergeCell ref="B6:C6"/>
    <mergeCell ref="B5:C5"/>
  </mergeCells>
  <phoneticPr fontId="1"/>
  <pageMargins left="0.7" right="0.7" top="0.75" bottom="0.75" header="0.3" footer="0.3"/>
  <ignoredErrors>
    <ignoredError sqref="E12 E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F20" sqref="F20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30" t="s">
        <v>70</v>
      </c>
      <c r="C2" s="131"/>
      <c r="D2" s="10" t="s">
        <v>9</v>
      </c>
      <c r="E2" s="10" t="s">
        <v>7</v>
      </c>
      <c r="F2" s="41" t="s">
        <v>8</v>
      </c>
      <c r="G2" s="41" t="s">
        <v>79</v>
      </c>
    </row>
    <row r="3" spans="2:12" ht="19.5" thickBot="1">
      <c r="B3" s="125" t="s">
        <v>0</v>
      </c>
      <c r="C3" s="126"/>
      <c r="D3" s="10" t="s">
        <v>12</v>
      </c>
      <c r="E3" s="40">
        <f>SUM(E4)</f>
        <v>3</v>
      </c>
      <c r="F3" s="65">
        <f>SUM(F4)</f>
        <v>0</v>
      </c>
      <c r="G3" s="41" t="s">
        <v>80</v>
      </c>
      <c r="J3" s="50" t="s">
        <v>74</v>
      </c>
      <c r="K3" s="53">
        <f ca="1">TODAY()</f>
        <v>46303</v>
      </c>
      <c r="L3" s="41" t="s">
        <v>83</v>
      </c>
    </row>
    <row r="4" spans="2:12">
      <c r="B4" s="136" t="s">
        <v>71</v>
      </c>
      <c r="C4" s="137"/>
      <c r="D4" s="138"/>
      <c r="E4" s="139">
        <v>3</v>
      </c>
      <c r="F4" s="135">
        <f>SUM(F6)</f>
        <v>0</v>
      </c>
      <c r="G4" s="140" t="s">
        <v>80</v>
      </c>
      <c r="J4" s="54" t="s">
        <v>77</v>
      </c>
      <c r="K4" s="51">
        <v>46310</v>
      </c>
      <c r="L4" s="47" t="str">
        <f ca="1">SUM($L4-I1)&amp; "日"</f>
        <v>15日</v>
      </c>
    </row>
    <row r="5" spans="2:12" ht="19.5" thickBot="1">
      <c r="B5" s="87" t="s">
        <v>67</v>
      </c>
      <c r="C5" s="110"/>
      <c r="D5" s="8"/>
      <c r="E5" s="36">
        <v>3</v>
      </c>
      <c r="F5" s="71"/>
      <c r="G5" s="60"/>
      <c r="J5" s="55" t="s">
        <v>78</v>
      </c>
      <c r="K5" s="51">
        <v>46313</v>
      </c>
      <c r="L5" s="47" t="str">
        <f ca="1">SUM($L5-I1)&amp; "日"</f>
        <v>18日</v>
      </c>
    </row>
    <row r="6" spans="2:12" ht="19.5" thickBot="1">
      <c r="B6" s="125" t="s">
        <v>1</v>
      </c>
      <c r="C6" s="126"/>
      <c r="D6" s="10" t="s">
        <v>11</v>
      </c>
      <c r="E6" s="40">
        <f>SUM(E7)</f>
        <v>3</v>
      </c>
      <c r="F6" s="65">
        <f t="shared" ref="F6" si="0">SUM(F7)</f>
        <v>0</v>
      </c>
      <c r="G6" s="41" t="s">
        <v>80</v>
      </c>
      <c r="J6" s="56" t="s">
        <v>73</v>
      </c>
      <c r="K6" s="52">
        <v>46314</v>
      </c>
      <c r="L6" s="48" t="str">
        <f ca="1">SUM(K6-K3)&amp; "日"</f>
        <v>11日</v>
      </c>
    </row>
    <row r="7" spans="2:12">
      <c r="B7" s="123" t="s">
        <v>72</v>
      </c>
      <c r="C7" s="124"/>
      <c r="D7" s="66"/>
      <c r="E7" s="68">
        <v>3</v>
      </c>
      <c r="F7" s="135">
        <f>SUM(F9)</f>
        <v>0</v>
      </c>
      <c r="G7" s="69" t="s">
        <v>80</v>
      </c>
    </row>
    <row r="8" spans="2:12" ht="19.5" thickBot="1">
      <c r="B8" s="87" t="s">
        <v>67</v>
      </c>
      <c r="C8" s="110"/>
      <c r="D8" s="8"/>
      <c r="E8" s="36">
        <v>3</v>
      </c>
      <c r="F8" s="71"/>
      <c r="G8" s="60"/>
      <c r="J8" s="142"/>
      <c r="K8" s="133"/>
      <c r="L8" s="134"/>
    </row>
    <row r="9" spans="2:12" ht="19.5" thickBot="1">
      <c r="B9" s="125" t="s">
        <v>2</v>
      </c>
      <c r="C9" s="126"/>
      <c r="D9" s="10" t="s">
        <v>10</v>
      </c>
      <c r="E9" s="40">
        <f>SUM(E10:E11)</f>
        <v>5</v>
      </c>
      <c r="F9" s="65">
        <f>SUM(F10:F11)</f>
        <v>0</v>
      </c>
      <c r="G9" s="41" t="s">
        <v>80</v>
      </c>
      <c r="J9" s="141"/>
    </row>
    <row r="10" spans="2:12">
      <c r="B10" s="117" t="s">
        <v>71</v>
      </c>
      <c r="C10" s="127"/>
      <c r="D10" s="9"/>
      <c r="E10" s="39">
        <v>3</v>
      </c>
      <c r="F10" s="49"/>
      <c r="G10" s="45" t="s">
        <v>80</v>
      </c>
    </row>
    <row r="11" spans="2:12" ht="19.5" thickBot="1">
      <c r="B11" s="128" t="s">
        <v>67</v>
      </c>
      <c r="C11" s="129"/>
      <c r="D11" s="8"/>
      <c r="E11" s="36">
        <v>2</v>
      </c>
      <c r="F11" s="71"/>
      <c r="G11" s="60" t="s">
        <v>80</v>
      </c>
    </row>
    <row r="12" spans="2:12" ht="19.5" thickBot="1">
      <c r="B12" s="125" t="s">
        <v>59</v>
      </c>
      <c r="C12" s="126"/>
      <c r="D12" s="10" t="s">
        <v>14</v>
      </c>
      <c r="E12" s="40">
        <f>SUM(E13)</f>
        <v>2</v>
      </c>
      <c r="F12" s="65">
        <f>SUM(F14+F17)</f>
        <v>0</v>
      </c>
      <c r="G12" s="41" t="s">
        <v>80</v>
      </c>
    </row>
    <row r="13" spans="2:12" ht="19.5" thickBot="1">
      <c r="B13" s="123" t="s">
        <v>71</v>
      </c>
      <c r="C13" s="124"/>
      <c r="D13" s="66"/>
      <c r="E13" s="68">
        <v>2</v>
      </c>
      <c r="F13" s="70"/>
      <c r="G13" s="69" t="s">
        <v>80</v>
      </c>
    </row>
    <row r="14" spans="2:12" ht="19.5" thickBot="1">
      <c r="B14" s="125" t="s">
        <v>4</v>
      </c>
      <c r="C14" s="126"/>
      <c r="D14" s="10"/>
      <c r="E14" s="40">
        <f>SUM(E15:E16)</f>
        <v>2</v>
      </c>
      <c r="F14" s="65">
        <f>SUM(F15:F16)</f>
        <v>0</v>
      </c>
      <c r="G14" s="41" t="s">
        <v>80</v>
      </c>
    </row>
    <row r="15" spans="2:12">
      <c r="B15" s="117" t="s">
        <v>67</v>
      </c>
      <c r="C15" s="127"/>
      <c r="D15" s="9"/>
      <c r="E15" s="39">
        <v>1</v>
      </c>
      <c r="F15" s="49"/>
      <c r="G15" s="45" t="s">
        <v>80</v>
      </c>
    </row>
    <row r="16" spans="2:12" ht="19.5" thickBot="1">
      <c r="B16" s="128" t="s">
        <v>71</v>
      </c>
      <c r="C16" s="129"/>
      <c r="D16" s="8"/>
      <c r="E16" s="36">
        <v>1</v>
      </c>
      <c r="F16" s="71"/>
      <c r="G16" s="60" t="s">
        <v>80</v>
      </c>
    </row>
    <row r="17" spans="2:7" ht="19.5" thickBot="1">
      <c r="B17" s="125" t="s">
        <v>5</v>
      </c>
      <c r="C17" s="126"/>
      <c r="D17" s="10"/>
      <c r="E17" s="40">
        <f>SUM(E18:E19)</f>
        <v>2</v>
      </c>
      <c r="F17" s="65">
        <f>SUM(F18:F19)</f>
        <v>0</v>
      </c>
      <c r="G17" s="41" t="s">
        <v>80</v>
      </c>
    </row>
    <row r="18" spans="2:7">
      <c r="B18" s="117" t="s">
        <v>67</v>
      </c>
      <c r="C18" s="127"/>
      <c r="D18" s="9"/>
      <c r="E18" s="39">
        <v>1</v>
      </c>
      <c r="F18" s="49"/>
      <c r="G18" s="45" t="s">
        <v>80</v>
      </c>
    </row>
    <row r="19" spans="2:7" ht="19.5" thickBot="1">
      <c r="B19" s="119" t="s">
        <v>71</v>
      </c>
      <c r="C19" s="120"/>
      <c r="D19" s="7"/>
      <c r="E19" s="37">
        <v>1</v>
      </c>
      <c r="F19" s="48"/>
      <c r="G19" s="60" t="s">
        <v>80</v>
      </c>
    </row>
    <row r="20" spans="2:7" ht="19.5" thickBot="1">
      <c r="B20" s="121" t="s">
        <v>34</v>
      </c>
      <c r="C20" s="122"/>
      <c r="D20" s="10"/>
      <c r="E20" s="40">
        <f>SUM(E3+E6+E9+E12+E14+E17)</f>
        <v>17</v>
      </c>
      <c r="F20" s="40">
        <f>SUM(F3+F6+F9+F12+F14+F17)</f>
        <v>0</v>
      </c>
      <c r="G20" s="10"/>
    </row>
    <row r="21" spans="2:7">
      <c r="G21" s="4"/>
    </row>
  </sheetData>
  <mergeCells count="19">
    <mergeCell ref="B2:C2"/>
    <mergeCell ref="B3:C3"/>
    <mergeCell ref="B4:C4"/>
    <mergeCell ref="B10:C10"/>
    <mergeCell ref="B11:C11"/>
    <mergeCell ref="B5:C5"/>
    <mergeCell ref="B8:C8"/>
    <mergeCell ref="B12:C12"/>
    <mergeCell ref="B9:C9"/>
    <mergeCell ref="B6:C6"/>
    <mergeCell ref="B7:C7"/>
    <mergeCell ref="B18:C18"/>
    <mergeCell ref="B19:C19"/>
    <mergeCell ref="B20:C20"/>
    <mergeCell ref="B13:C13"/>
    <mergeCell ref="B14:C14"/>
    <mergeCell ref="B15:C15"/>
    <mergeCell ref="B16:C16"/>
    <mergeCell ref="B17:C17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E16" sqref="E16"/>
    </sheetView>
  </sheetViews>
  <sheetFormatPr defaultRowHeight="18.75"/>
  <sheetData>
    <row r="1" spans="2:11" ht="36" thickBot="1">
      <c r="C1" s="132" t="s">
        <v>22</v>
      </c>
      <c r="D1" s="132"/>
      <c r="E1" s="132"/>
      <c r="F1" s="132"/>
      <c r="G1" s="132"/>
    </row>
    <row r="2" spans="2:11" ht="19.5" thickBot="1">
      <c r="B2" s="27" t="s">
        <v>15</v>
      </c>
      <c r="C2" s="28" t="s">
        <v>16</v>
      </c>
      <c r="D2" s="28" t="s">
        <v>17</v>
      </c>
      <c r="E2" s="28" t="s">
        <v>18</v>
      </c>
      <c r="F2" s="28" t="s">
        <v>19</v>
      </c>
      <c r="G2" s="28" t="s">
        <v>20</v>
      </c>
      <c r="H2" s="29" t="s">
        <v>21</v>
      </c>
      <c r="J2" t="s">
        <v>36</v>
      </c>
    </row>
    <row r="3" spans="2:11">
      <c r="B3" s="24"/>
      <c r="D3" s="25">
        <v>46266</v>
      </c>
      <c r="E3" s="25">
        <f>SUM(D3)+1</f>
        <v>46267</v>
      </c>
      <c r="F3" s="25">
        <f t="shared" ref="F3:H3" si="0">SUM(E3)+1</f>
        <v>46268</v>
      </c>
      <c r="G3" s="25">
        <f t="shared" si="0"/>
        <v>46269</v>
      </c>
      <c r="H3" s="26">
        <f t="shared" si="0"/>
        <v>46270</v>
      </c>
      <c r="J3" s="14"/>
      <c r="K3" t="s">
        <v>23</v>
      </c>
    </row>
    <row r="4" spans="2:11">
      <c r="B4" s="18">
        <f>SUM(H3)+1</f>
        <v>46271</v>
      </c>
      <c r="C4" s="17">
        <f>SUM(B4)+1</f>
        <v>46272</v>
      </c>
      <c r="D4" s="17">
        <f t="shared" ref="D4:H4" si="1">SUM(C4)+1</f>
        <v>46273</v>
      </c>
      <c r="E4" s="42">
        <f t="shared" si="1"/>
        <v>46274</v>
      </c>
      <c r="F4" s="42">
        <f t="shared" si="1"/>
        <v>46275</v>
      </c>
      <c r="G4" s="42">
        <f t="shared" si="1"/>
        <v>46276</v>
      </c>
      <c r="H4" s="43">
        <f t="shared" si="1"/>
        <v>46277</v>
      </c>
      <c r="J4" s="15"/>
      <c r="K4" t="s">
        <v>24</v>
      </c>
    </row>
    <row r="5" spans="2:11">
      <c r="B5" s="44">
        <f>SUM(H4)+1</f>
        <v>46278</v>
      </c>
      <c r="C5" s="42">
        <f>SUM(B5)+1</f>
        <v>46279</v>
      </c>
      <c r="D5" s="42">
        <f t="shared" ref="D5:H5" si="2">SUM(C5)+1</f>
        <v>46280</v>
      </c>
      <c r="E5" s="42">
        <f t="shared" si="2"/>
        <v>46281</v>
      </c>
      <c r="F5" s="42">
        <f t="shared" si="2"/>
        <v>46282</v>
      </c>
      <c r="G5" s="42">
        <f t="shared" si="2"/>
        <v>46283</v>
      </c>
      <c r="H5" s="43">
        <f t="shared" si="2"/>
        <v>46284</v>
      </c>
      <c r="J5" s="16"/>
      <c r="K5" t="s">
        <v>25</v>
      </c>
    </row>
    <row r="6" spans="2:11">
      <c r="B6" s="44">
        <f>SUM(H5)+1</f>
        <v>46285</v>
      </c>
      <c r="C6" s="42">
        <f>SUM(B6)+1</f>
        <v>46286</v>
      </c>
      <c r="D6" s="42">
        <f t="shared" ref="D6:H6" si="3">SUM(C6)+1</f>
        <v>46287</v>
      </c>
      <c r="E6" s="42">
        <f t="shared" si="3"/>
        <v>46288</v>
      </c>
      <c r="F6" s="42">
        <f t="shared" si="3"/>
        <v>46289</v>
      </c>
      <c r="G6" s="42">
        <f t="shared" si="3"/>
        <v>46290</v>
      </c>
      <c r="H6" s="43">
        <f t="shared" si="3"/>
        <v>46291</v>
      </c>
      <c r="J6" s="23"/>
      <c r="K6" t="s">
        <v>26</v>
      </c>
    </row>
    <row r="7" spans="2:11" ht="19.5" thickBot="1">
      <c r="B7" s="61">
        <f>SUM(H6)+1</f>
        <v>46292</v>
      </c>
      <c r="C7" s="62">
        <f>SUM(B7)+1</f>
        <v>46293</v>
      </c>
      <c r="D7" s="62">
        <f t="shared" ref="D7:E7" si="4">SUM(C7)+1</f>
        <v>46294</v>
      </c>
      <c r="E7" s="62">
        <f t="shared" si="4"/>
        <v>46295</v>
      </c>
      <c r="F7" s="1"/>
      <c r="G7" s="1"/>
      <c r="H7" s="2"/>
    </row>
    <row r="8" spans="2:11">
      <c r="B8" s="24"/>
      <c r="C8" s="3"/>
      <c r="D8" s="3"/>
      <c r="E8" s="3"/>
      <c r="F8" s="30">
        <f>SUM(E7)+1</f>
        <v>46296</v>
      </c>
      <c r="G8" s="30">
        <f>SUM(F8)+1</f>
        <v>46297</v>
      </c>
      <c r="H8" s="31">
        <f>SUM(G8)+1</f>
        <v>46298</v>
      </c>
    </row>
    <row r="9" spans="2:11">
      <c r="B9" s="19">
        <f>SUM(H8)+1</f>
        <v>46299</v>
      </c>
      <c r="C9" s="20">
        <f>SUM(B9)+1</f>
        <v>46300</v>
      </c>
      <c r="D9" s="42">
        <f t="shared" ref="D9:H9" si="5">SUM(C9)+1</f>
        <v>46301</v>
      </c>
      <c r="E9" s="20">
        <f t="shared" si="5"/>
        <v>46302</v>
      </c>
      <c r="F9" s="20">
        <f t="shared" si="5"/>
        <v>46303</v>
      </c>
      <c r="G9" s="20">
        <f t="shared" si="5"/>
        <v>46304</v>
      </c>
      <c r="H9" s="21">
        <f t="shared" si="5"/>
        <v>46305</v>
      </c>
    </row>
    <row r="10" spans="2:11">
      <c r="B10" s="19">
        <f t="shared" ref="B10:B12" si="6">SUM(H9)+1</f>
        <v>46306</v>
      </c>
      <c r="C10" s="20">
        <f>SUM(B10)+1</f>
        <v>46307</v>
      </c>
      <c r="D10" s="22">
        <f t="shared" ref="D10:G10" si="7">SUM(C10)+1</f>
        <v>46308</v>
      </c>
      <c r="E10" s="22">
        <f t="shared" si="7"/>
        <v>46309</v>
      </c>
      <c r="F10" s="22">
        <f t="shared" si="7"/>
        <v>46310</v>
      </c>
      <c r="G10" s="22">
        <f t="shared" si="7"/>
        <v>46311</v>
      </c>
      <c r="H10" s="143">
        <f>SUM(G10)+1</f>
        <v>46312</v>
      </c>
    </row>
    <row r="11" spans="2:11">
      <c r="B11" s="46">
        <f t="shared" si="6"/>
        <v>46313</v>
      </c>
      <c r="C11" s="34">
        <f>SUM(B11)+1</f>
        <v>46314</v>
      </c>
      <c r="D11" s="11">
        <f t="shared" ref="D11:F11" si="8">SUM(C11)+1</f>
        <v>46315</v>
      </c>
      <c r="E11" s="11">
        <f t="shared" si="8"/>
        <v>46316</v>
      </c>
      <c r="F11" s="11">
        <f t="shared" si="8"/>
        <v>46317</v>
      </c>
      <c r="G11" s="11">
        <f t="shared" ref="G11" si="9">SUM(F11)+1</f>
        <v>46318</v>
      </c>
      <c r="H11" s="32">
        <f>SUM(G11)+1</f>
        <v>46319</v>
      </c>
    </row>
    <row r="12" spans="2:11" ht="19.5" thickBot="1">
      <c r="B12" s="33">
        <f t="shared" si="6"/>
        <v>46320</v>
      </c>
      <c r="C12" s="12">
        <f>SUM(B12)+1</f>
        <v>46321</v>
      </c>
      <c r="D12" s="12">
        <f t="shared" ref="D12:H12" si="10">SUM(C12)+1</f>
        <v>46322</v>
      </c>
      <c r="E12" s="12">
        <f t="shared" si="10"/>
        <v>46323</v>
      </c>
      <c r="F12" s="12">
        <f t="shared" si="10"/>
        <v>46324</v>
      </c>
      <c r="G12" s="12">
        <f t="shared" si="10"/>
        <v>46325</v>
      </c>
      <c r="H12" s="13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2026-10-08T09:43:24Z</dcterms:modified>
</cp:coreProperties>
</file>