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unasakoYuga\Documents\GitHub\GlassesGame\"/>
    </mc:Choice>
  </mc:AlternateContent>
  <xr:revisionPtr revIDLastSave="0" documentId="13_ncr:1_{BA794882-ECE0-4537-99B0-9EFC32EF44BD}" xr6:coauthVersionLast="47" xr6:coauthVersionMax="47" xr10:uidLastSave="{00000000-0000-0000-0000-000000000000}"/>
  <bookViews>
    <workbookView xWindow="-120" yWindow="-120" windowWidth="29040" windowHeight="15720" tabRatio="599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" i="5" l="1"/>
  <c r="E40" i="5"/>
  <c r="E33" i="5"/>
  <c r="J12" i="5"/>
  <c r="E26" i="5"/>
  <c r="F6" i="5"/>
  <c r="E6" i="5"/>
  <c r="E3" i="5" s="1"/>
  <c r="F35" i="5"/>
  <c r="E36" i="5"/>
  <c r="E35" i="5" s="1"/>
  <c r="E43" i="5"/>
  <c r="F15" i="5"/>
  <c r="F3" i="5" s="1"/>
  <c r="F26" i="5"/>
  <c r="F9" i="5"/>
  <c r="J11" i="1"/>
  <c r="J10" i="1"/>
  <c r="J8" i="1"/>
  <c r="J9" i="1"/>
  <c r="E9" i="5"/>
  <c r="E31" i="5"/>
  <c r="J15" i="5" s="1"/>
  <c r="E32" i="1"/>
  <c r="F12" i="1"/>
  <c r="E4" i="1"/>
  <c r="E12" i="1"/>
  <c r="F4" i="1"/>
  <c r="F32" i="1"/>
  <c r="F28" i="1"/>
  <c r="F26" i="1" s="1"/>
  <c r="E28" i="1"/>
  <c r="E17" i="6"/>
  <c r="E14" i="6"/>
  <c r="E12" i="6"/>
  <c r="F17" i="6"/>
  <c r="F14" i="6"/>
  <c r="F9" i="6"/>
  <c r="F7" i="6" s="1"/>
  <c r="F6" i="6" s="1"/>
  <c r="F4" i="6" s="1"/>
  <c r="F3" i="6" s="1"/>
  <c r="E9" i="6"/>
  <c r="E6" i="6"/>
  <c r="E3" i="6"/>
  <c r="K3" i="6"/>
  <c r="L6" i="6" s="1"/>
  <c r="J2" i="5"/>
  <c r="K3" i="5" s="1"/>
  <c r="F31" i="5"/>
  <c r="J14" i="5"/>
  <c r="E19" i="5"/>
  <c r="J13" i="5" s="1"/>
  <c r="F19" i="5"/>
  <c r="J3" i="1"/>
  <c r="K5" i="1" s="1"/>
  <c r="J16" i="5" l="1"/>
  <c r="J12" i="1"/>
  <c r="F3" i="1"/>
  <c r="E52" i="5"/>
  <c r="F52" i="5"/>
  <c r="E20" i="6"/>
  <c r="F43" i="1"/>
  <c r="K4" i="5"/>
  <c r="F12" i="6"/>
  <c r="F20" i="6" s="1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3" i="1" l="1"/>
  <c r="G11" i="3"/>
  <c r="H11" i="3" s="1"/>
  <c r="B12" i="3" s="1"/>
  <c r="C12" i="3" s="1"/>
  <c r="D12" i="3" s="1"/>
  <c r="E12" i="3" s="1"/>
  <c r="F12" i="3" s="1"/>
  <c r="L4" i="6"/>
  <c r="L5" i="6"/>
</calcChain>
</file>

<file path=xl/sharedStrings.xml><?xml version="1.0" encoding="utf-8"?>
<sst xmlns="http://schemas.openxmlformats.org/spreadsheetml/2006/main" count="297" uniqueCount="121">
  <si>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</si>
  <si>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</si>
  <si>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</si>
  <si>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</si>
  <si>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</si>
  <si>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</si>
  <si>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</si>
  <si>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</si>
  <si>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</si>
  <si>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</si>
  <si>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</si>
  <si>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</si>
  <si>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</si>
  <si>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</si>
  <si>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</si>
  <si>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</si>
  <si>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</si>
  <si>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</si>
  <si>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</si>
  <si>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</si>
  <si>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</si>
  <si>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</si>
  <si>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</si>
  <si>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</si>
  <si>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</si>
  <si>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</si>
  <si>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</si>
  <si>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</si>
  <si>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</si>
  <si>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</si>
  <si>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</si>
  <si>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</si>
  <si>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</si>
  <si>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</si>
  <si>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</si>
  <si>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</si>
  <si>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</si>
  <si>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</si>
  <si>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</si>
  <si>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</si>
  <si>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</si>
  <si>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</si>
  <si>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</si>
  <si>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</si>
  <si>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</si>
  <si>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</si>
  <si>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</si>
  <si>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</si>
  <si>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</si>
  <si>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</si>
  <si>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</si>
  <si>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</si>
  <si>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</si>
  <si>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</si>
  <si>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</si>
  <si>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</si>
  <si>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</si>
  <si>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</si>
  <si>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</si>
  <si>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</si>
  <si>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</si>
  <si>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</si>
  <si>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</si>
  <si>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</si>
  <si>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</si>
  <si>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</si>
  <si>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</si>
  <si>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</si>
  <si>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</si>
  <si>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</si>
  <si>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</si>
  <si>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</si>
  <si>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</si>
  <si>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</si>
  <si>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</si>
  <si>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</si>
  <si>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</si>
  <si>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</si>
  <si>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</si>
  <si>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</si>
  <si>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</si>
  <si>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</si>
  <si>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</si>
  <si>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</si>
  <si>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</si>
  <si>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</si>
  <si>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</si>
  <si>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</si>
  <si>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</si>
  <si>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</si>
  <si>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</si>
  <si>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</si>
  <si>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</si>
  <si>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</si>
  <si>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</si>
  <si>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ギミック</t>
    <phoneticPr fontId="1"/>
  </si>
  <si>
    <t>ポーズ</t>
    <phoneticPr fontId="1"/>
  </si>
  <si>
    <t>(寺尾)</t>
    <rPh sb="1" eb="3">
      <t>テラオ</t>
    </rPh>
    <phoneticPr fontId="1"/>
  </si>
  <si>
    <t>フェード</t>
    <phoneticPr fontId="1"/>
  </si>
  <si>
    <t>寺尾</t>
    <rPh sb="0" eb="2">
      <t>テラオ</t>
    </rPh>
    <phoneticPr fontId="1"/>
  </si>
  <si>
    <t>ゲームオーバー</t>
    <phoneticPr fontId="1"/>
  </si>
  <si>
    <t>合計</t>
    <rPh sb="0" eb="2">
      <t>ゴウケイ</t>
    </rPh>
    <phoneticPr fontId="1"/>
  </si>
  <si>
    <t>プロト総コスト</t>
    <rPh sb="3" eb="4">
      <t>ソウ</t>
    </rPh>
    <phoneticPr fontId="1"/>
  </si>
  <si>
    <t>アルファ総コスト</t>
    <rPh sb="4" eb="5">
      <t>ソウ</t>
    </rPh>
    <phoneticPr fontId="1"/>
  </si>
  <si>
    <t>雰囲気づくり</t>
    <rPh sb="0" eb="3">
      <t>フンイキ</t>
    </rPh>
    <phoneticPr fontId="1"/>
  </si>
  <si>
    <t>提出日</t>
    <rPh sb="0" eb="3">
      <t>テイシュツビ</t>
    </rPh>
    <phoneticPr fontId="1"/>
  </si>
  <si>
    <t>(雰囲気づくり)</t>
    <rPh sb="1" eb="4">
      <t>フンイキ</t>
    </rPh>
    <phoneticPr fontId="1"/>
  </si>
  <si>
    <t>ロビーライト</t>
    <phoneticPr fontId="1"/>
  </si>
  <si>
    <t>スポットライト</t>
    <phoneticPr fontId="1"/>
  </si>
  <si>
    <t>暗闇</t>
    <rPh sb="0" eb="2">
      <t>クラヤミ</t>
    </rPh>
    <phoneticPr fontId="1"/>
  </si>
  <si>
    <t>背景</t>
    <rPh sb="0" eb="2">
      <t>ハイケイ</t>
    </rPh>
    <phoneticPr fontId="1"/>
  </si>
  <si>
    <t>　　　ー　コンティニュー</t>
    <phoneticPr fontId="1"/>
  </si>
  <si>
    <t>　　　ー　操作方法</t>
    <rPh sb="5" eb="9">
      <t>ソウサホウホウ</t>
    </rPh>
    <phoneticPr fontId="1"/>
  </si>
  <si>
    <t>　　　ー　タイトルに戻る</t>
    <rPh sb="10" eb="11">
      <t>モド</t>
    </rPh>
    <phoneticPr fontId="1"/>
  </si>
  <si>
    <t>ボタンSE</t>
    <phoneticPr fontId="1"/>
  </si>
  <si>
    <t>ー　ボタンSE</t>
    <phoneticPr fontId="1"/>
  </si>
  <si>
    <t xml:space="preserve">               ー　BGM</t>
    <phoneticPr fontId="1"/>
  </si>
  <si>
    <t>カメラ</t>
    <phoneticPr fontId="1"/>
  </si>
  <si>
    <t>ー　揺れ</t>
    <rPh sb="2" eb="3">
      <t>ユ</t>
    </rPh>
    <phoneticPr fontId="1"/>
  </si>
  <si>
    <t>1コスト1時間</t>
    <rPh sb="5" eb="7">
      <t>ジカン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</si>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</sst>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1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4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0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5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30" xfId="0" applyBorder="1" applyAlignment="1">
      <alignment horizontal="right" vertical="center"/>
    </xf>
    <xf numFmtId="0" fontId="0" fillId="0" borderId="37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11" borderId="32" xfId="0" applyFill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6" xfId="0" applyBorder="1" applyAlignment="1">
      <alignment horizontal="right" vertical="center"/>
    </xf>
    <xf numFmtId="0" fontId="0" fillId="0" borderId="49" xfId="0" applyBorder="1" applyAlignment="1">
      <alignment horizontal="center" vertical="center"/>
    </xf>
    <xf numFmtId="0" fontId="0" fillId="0" borderId="49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4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2" xfId="0" applyBorder="1"/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/>
    <xf numFmtId="0" fontId="0" fillId="0" borderId="7" xfId="0" applyBorder="1"/>
    <xf numFmtId="0" fontId="0" fillId="0" borderId="13" xfId="0" applyBorder="1"/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0" fontId="0" fillId="0" borderId="51" xfId="0" applyBorder="1"/>
    <xf numFmtId="56" fontId="0" fillId="9" borderId="8" xfId="0" applyNumberFormat="1" applyFill="1" applyBorder="1"/>
    <xf numFmtId="56" fontId="0" fillId="9" borderId="9" xfId="0" applyNumberFormat="1" applyFill="1" applyBorder="1"/>
    <xf numFmtId="0" fontId="0" fillId="11" borderId="0" xfId="0" applyFill="1"/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1" xfId="0" applyFill="1" applyBorder="1" applyAlignment="1">
      <alignment horizontal="right" vertical="center"/>
    </xf>
    <xf numFmtId="0" fontId="0" fillId="2" borderId="14" xfId="0" applyFill="1" applyBorder="1" applyAlignment="1">
      <alignment horizontal="right" vertical="center"/>
    </xf>
    <xf numFmtId="0" fontId="0" fillId="2" borderId="18" xfId="0" applyFill="1" applyBorder="1" applyAlignment="1">
      <alignment horizontal="right" vertical="center"/>
    </xf>
    <xf numFmtId="0" fontId="0" fillId="2" borderId="35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2" xfId="0" applyFill="1" applyBorder="1" applyAlignment="1">
      <alignment horizontal="right" vertical="center"/>
    </xf>
    <xf numFmtId="0" fontId="0" fillId="2" borderId="29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2" borderId="17" xfId="0" applyFill="1" applyBorder="1" applyAlignment="1">
      <alignment horizontal="right" vertical="center"/>
    </xf>
    <xf numFmtId="0" fontId="0" fillId="12" borderId="18" xfId="0" applyFill="1" applyBorder="1" applyAlignment="1">
      <alignment horizontal="center" vertical="center"/>
    </xf>
    <xf numFmtId="0" fontId="0" fillId="12" borderId="18" xfId="0" applyFill="1" applyBorder="1" applyAlignment="1">
      <alignment horizontal="right" vertical="center"/>
    </xf>
    <xf numFmtId="0" fontId="0" fillId="12" borderId="20" xfId="0" applyFill="1" applyBorder="1" applyAlignment="1">
      <alignment horizontal="center" vertical="center"/>
    </xf>
    <xf numFmtId="0" fontId="0" fillId="12" borderId="20" xfId="0" applyFill="1" applyBorder="1" applyAlignment="1">
      <alignment horizontal="right" vertical="center"/>
    </xf>
    <xf numFmtId="0" fontId="0" fillId="12" borderId="21" xfId="0" applyFill="1" applyBorder="1" applyAlignment="1">
      <alignment horizontal="center" vertical="center"/>
    </xf>
    <xf numFmtId="0" fontId="0" fillId="12" borderId="21" xfId="0" applyFill="1" applyBorder="1" applyAlignment="1">
      <alignment horizontal="right" vertical="center"/>
    </xf>
    <xf numFmtId="0" fontId="0" fillId="0" borderId="5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2" fillId="12" borderId="34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51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12" borderId="36" xfId="0" applyFill="1" applyBorder="1" applyAlignment="1">
      <alignment horizontal="center" vertical="center"/>
    </xf>
    <xf numFmtId="0" fontId="0" fillId="12" borderId="50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workbookViewId="0">
      <selection activeCell="B43" sqref="B43:C43"/>
    </sheetView>
  </sheetViews>
  <sheetFormatPr defaultColWidth="9"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24" t="s">
        <v>13</v>
      </c>
      <c r="C2" s="174"/>
      <c r="D2" s="68" t="s">
        <v>9</v>
      </c>
      <c r="E2" s="9" t="s">
        <v>7</v>
      </c>
      <c r="F2" s="9" t="s">
        <v>8</v>
      </c>
      <c r="G2" s="9" t="s">
        <v>79</v>
      </c>
    </row>
    <row r="3" spans="2:19" ht="19.5" thickBot="1">
      <c r="B3" s="126" t="s">
        <v>0</v>
      </c>
      <c r="C3" s="170"/>
      <c r="D3" s="97" t="s">
        <v>12</v>
      </c>
      <c r="E3" s="107">
        <f>SUM(E4:E15)</f>
        <v>21</v>
      </c>
      <c r="F3" s="107">
        <f>SUM(F4:F15)</f>
        <v>23</v>
      </c>
      <c r="G3" s="66" t="s">
        <v>84</v>
      </c>
      <c r="I3" s="44" t="s">
        <v>74</v>
      </c>
      <c r="J3" s="47">
        <f ca="1">TODAY()</f>
        <v>46308</v>
      </c>
      <c r="K3" s="35" t="s">
        <v>83</v>
      </c>
    </row>
    <row r="4" spans="2:19" ht="19.5" thickBot="1">
      <c r="B4" s="128" t="s">
        <v>37</v>
      </c>
      <c r="C4" s="169"/>
      <c r="D4" s="78"/>
      <c r="E4" s="33">
        <f>SUM(E5:E7)</f>
        <v>4</v>
      </c>
      <c r="F4" s="33">
        <f>SUM(F5:F7)</f>
        <v>5</v>
      </c>
      <c r="G4" s="8" t="s">
        <v>84</v>
      </c>
      <c r="I4" s="66" t="s">
        <v>75</v>
      </c>
      <c r="J4" s="47">
        <v>46295</v>
      </c>
      <c r="K4" s="56" t="str">
        <f ca="1">SUM($J4-J3)&amp; "日"</f>
        <v>-13日</v>
      </c>
    </row>
    <row r="5" spans="2:19" ht="19.5" thickBot="1">
      <c r="B5" s="139" t="s">
        <v>38</v>
      </c>
      <c r="C5" s="140"/>
      <c r="D5" s="70"/>
      <c r="E5" s="30">
        <v>2</v>
      </c>
      <c r="F5" s="30">
        <v>2</v>
      </c>
      <c r="G5" s="8" t="s">
        <v>84</v>
      </c>
      <c r="I5" s="63" t="s">
        <v>73</v>
      </c>
      <c r="J5" s="64">
        <v>46314</v>
      </c>
      <c r="K5" s="65" t="str">
        <f ca="1">SUM(J5-J3)&amp; "日"</f>
        <v>6日</v>
      </c>
      <c r="R5" s="51"/>
      <c r="S5" s="52"/>
    </row>
    <row r="6" spans="2:19" ht="19.5" thickBot="1">
      <c r="B6" s="139" t="s">
        <v>39</v>
      </c>
      <c r="C6" s="140"/>
      <c r="D6" s="70"/>
      <c r="E6" s="30">
        <v>1</v>
      </c>
      <c r="F6" s="30">
        <v>2</v>
      </c>
      <c r="G6" s="8" t="s">
        <v>84</v>
      </c>
      <c r="R6" s="51"/>
      <c r="S6" s="52"/>
    </row>
    <row r="7" spans="2:19" ht="19.5" thickBot="1">
      <c r="B7" s="139" t="s">
        <v>86</v>
      </c>
      <c r="C7" s="140"/>
      <c r="D7" s="70"/>
      <c r="E7" s="30">
        <v>1</v>
      </c>
      <c r="F7" s="33">
        <v>1</v>
      </c>
      <c r="G7" s="8" t="s">
        <v>84</v>
      </c>
      <c r="I7" s="176" t="s">
        <v>102</v>
      </c>
      <c r="J7" s="177"/>
      <c r="R7" s="51"/>
      <c r="S7" s="52"/>
    </row>
    <row r="8" spans="2:19">
      <c r="B8" s="132" t="s">
        <v>85</v>
      </c>
      <c r="C8" s="138"/>
      <c r="D8" s="70"/>
      <c r="E8" s="30">
        <v>2</v>
      </c>
      <c r="F8" s="33">
        <v>2</v>
      </c>
      <c r="G8" s="8" t="s">
        <v>84</v>
      </c>
      <c r="I8" s="82" t="s">
        <v>99</v>
      </c>
      <c r="J8" s="85">
        <f>SUM(E3)</f>
        <v>21</v>
      </c>
    </row>
    <row r="9" spans="2:19">
      <c r="B9" s="132" t="s">
        <v>28</v>
      </c>
      <c r="C9" s="138"/>
      <c r="D9" s="71"/>
      <c r="E9" s="31">
        <v>2</v>
      </c>
      <c r="F9" s="31">
        <v>2</v>
      </c>
      <c r="G9" s="8" t="s">
        <v>84</v>
      </c>
      <c r="I9" s="83" t="s">
        <v>11</v>
      </c>
      <c r="J9" s="86">
        <f>SUM(E16)</f>
        <v>16</v>
      </c>
    </row>
    <row r="10" spans="2:19">
      <c r="B10" s="132" t="s">
        <v>40</v>
      </c>
      <c r="C10" s="138"/>
      <c r="D10" s="71"/>
      <c r="E10" s="31">
        <v>2</v>
      </c>
      <c r="F10" s="31">
        <v>2</v>
      </c>
      <c r="G10" s="8" t="s">
        <v>84</v>
      </c>
      <c r="I10" s="83" t="s">
        <v>10</v>
      </c>
      <c r="J10" s="86">
        <f>SUM(E26)</f>
        <v>16</v>
      </c>
    </row>
    <row r="11" spans="2:19" ht="19.5" thickBot="1">
      <c r="B11" s="152" t="s">
        <v>81</v>
      </c>
      <c r="C11" s="175"/>
      <c r="D11" s="70"/>
      <c r="E11" s="30">
        <v>1</v>
      </c>
      <c r="F11" s="30">
        <v>1</v>
      </c>
      <c r="G11" s="5" t="s">
        <v>84</v>
      </c>
      <c r="I11" s="84" t="s">
        <v>14</v>
      </c>
      <c r="J11" s="87">
        <f>SUM(E32)</f>
        <v>13</v>
      </c>
    </row>
    <row r="12" spans="2:19" ht="19.5" thickBot="1">
      <c r="B12" s="132" t="s">
        <v>41</v>
      </c>
      <c r="C12" s="138"/>
      <c r="D12" s="70"/>
      <c r="E12" s="30">
        <f>SUM(E13:E15)</f>
        <v>3</v>
      </c>
      <c r="F12" s="30">
        <f>SUM(F13:F15)</f>
        <v>3</v>
      </c>
      <c r="G12" s="5" t="s">
        <v>84</v>
      </c>
      <c r="I12" s="89" t="s">
        <v>101</v>
      </c>
      <c r="J12" s="79">
        <f>SUM(J8:J11)</f>
        <v>66</v>
      </c>
    </row>
    <row r="13" spans="2:19">
      <c r="B13" s="136" t="s">
        <v>42</v>
      </c>
      <c r="C13" s="167"/>
      <c r="D13" s="70"/>
      <c r="E13" s="30">
        <v>1</v>
      </c>
      <c r="F13" s="30">
        <v>1</v>
      </c>
      <c r="G13" s="5" t="s">
        <v>84</v>
      </c>
    </row>
    <row r="14" spans="2:19">
      <c r="B14" s="139" t="s">
        <v>43</v>
      </c>
      <c r="C14" s="140"/>
      <c r="D14" s="70"/>
      <c r="E14" s="30">
        <v>1</v>
      </c>
      <c r="F14" s="30">
        <v>1</v>
      </c>
      <c r="G14" s="5" t="s">
        <v>84</v>
      </c>
      <c r="R14" s="51"/>
      <c r="S14" s="52"/>
    </row>
    <row r="15" spans="2:19" ht="19.5" thickBot="1">
      <c r="B15" s="158" t="s">
        <v>44</v>
      </c>
      <c r="C15" s="166"/>
      <c r="D15" s="71"/>
      <c r="E15" s="31">
        <v>1</v>
      </c>
      <c r="F15" s="31">
        <v>1</v>
      </c>
      <c r="G15" s="5" t="s">
        <v>84</v>
      </c>
    </row>
    <row r="16" spans="2:19" ht="19.5" thickBot="1">
      <c r="B16" s="126" t="s">
        <v>1</v>
      </c>
      <c r="C16" s="170"/>
      <c r="D16" s="93" t="s">
        <v>11</v>
      </c>
      <c r="E16" s="107">
        <f>SUM(E17:E25)</f>
        <v>16</v>
      </c>
      <c r="F16" s="107">
        <v>8</v>
      </c>
      <c r="G16" s="66" t="s">
        <v>84</v>
      </c>
    </row>
    <row r="17" spans="2:7">
      <c r="B17" s="128" t="s">
        <v>45</v>
      </c>
      <c r="C17" s="169"/>
      <c r="D17" s="78"/>
      <c r="E17" s="33">
        <v>3</v>
      </c>
      <c r="F17" s="33">
        <v>1</v>
      </c>
      <c r="G17" s="8" t="s">
        <v>84</v>
      </c>
    </row>
    <row r="18" spans="2:7">
      <c r="B18" s="132" t="s">
        <v>46</v>
      </c>
      <c r="C18" s="138"/>
      <c r="D18" s="70"/>
      <c r="E18" s="30">
        <v>3</v>
      </c>
      <c r="F18" s="30">
        <v>1</v>
      </c>
      <c r="G18" s="5" t="s">
        <v>84</v>
      </c>
    </row>
    <row r="19" spans="2:7">
      <c r="B19" s="132" t="s">
        <v>47</v>
      </c>
      <c r="C19" s="138"/>
      <c r="D19" s="70"/>
      <c r="E19" s="30">
        <v>3</v>
      </c>
      <c r="F19" s="30">
        <v>1</v>
      </c>
      <c r="G19" s="5" t="s">
        <v>84</v>
      </c>
    </row>
    <row r="20" spans="2:7">
      <c r="B20" s="132" t="s">
        <v>48</v>
      </c>
      <c r="C20" s="138"/>
      <c r="D20" s="71"/>
      <c r="E20" s="30">
        <v>3</v>
      </c>
      <c r="F20" s="30">
        <v>1</v>
      </c>
      <c r="G20" s="5" t="s">
        <v>84</v>
      </c>
    </row>
    <row r="21" spans="2:7">
      <c r="B21" s="132" t="s">
        <v>49</v>
      </c>
      <c r="C21" s="138"/>
      <c r="D21" s="70"/>
      <c r="E21" s="59">
        <v>1</v>
      </c>
      <c r="F21" s="30">
        <v>1</v>
      </c>
      <c r="G21" s="5" t="s">
        <v>84</v>
      </c>
    </row>
    <row r="22" spans="2:7">
      <c r="B22" s="152" t="s">
        <v>41</v>
      </c>
      <c r="C22" s="175"/>
      <c r="D22" s="70"/>
      <c r="E22" s="30"/>
      <c r="F22" s="30">
        <v>3</v>
      </c>
      <c r="G22" s="5" t="s">
        <v>84</v>
      </c>
    </row>
    <row r="23" spans="2:7">
      <c r="B23" s="136" t="s">
        <v>42</v>
      </c>
      <c r="C23" s="167"/>
      <c r="D23" s="70"/>
      <c r="E23" s="30">
        <v>1</v>
      </c>
      <c r="F23" s="30">
        <v>1</v>
      </c>
      <c r="G23" s="5" t="s">
        <v>84</v>
      </c>
    </row>
    <row r="24" spans="2:7">
      <c r="B24" s="136" t="s">
        <v>43</v>
      </c>
      <c r="C24" s="167"/>
      <c r="D24" s="70"/>
      <c r="E24" s="30">
        <v>1</v>
      </c>
      <c r="F24" s="30">
        <v>1</v>
      </c>
      <c r="G24" s="5" t="s">
        <v>84</v>
      </c>
    </row>
    <row r="25" spans="2:7" ht="19.5" thickBot="1">
      <c r="B25" s="162" t="s">
        <v>50</v>
      </c>
      <c r="C25" s="168"/>
      <c r="D25" s="80"/>
      <c r="E25" s="32">
        <v>1</v>
      </c>
      <c r="F25" s="32">
        <v>1</v>
      </c>
      <c r="G25" s="5" t="s">
        <v>84</v>
      </c>
    </row>
    <row r="26" spans="2:7" ht="19.5" thickBot="1">
      <c r="B26" s="126" t="s">
        <v>2</v>
      </c>
      <c r="C26" s="170"/>
      <c r="D26" s="93" t="s">
        <v>10</v>
      </c>
      <c r="E26" s="107">
        <f>SUM(E27:E31)</f>
        <v>16</v>
      </c>
      <c r="F26" s="107">
        <f>SUM(F27,F28,F31)</f>
        <v>11</v>
      </c>
      <c r="G26" s="66" t="s">
        <v>84</v>
      </c>
    </row>
    <row r="27" spans="2:7">
      <c r="B27" s="180" t="s">
        <v>92</v>
      </c>
      <c r="C27" s="181"/>
      <c r="D27" s="78"/>
      <c r="E27" s="33">
        <v>5</v>
      </c>
      <c r="F27" s="33">
        <v>5</v>
      </c>
      <c r="G27" s="8" t="s">
        <v>84</v>
      </c>
    </row>
    <row r="28" spans="2:7">
      <c r="B28" s="152" t="s">
        <v>51</v>
      </c>
      <c r="C28" s="175"/>
      <c r="D28" s="70"/>
      <c r="E28" s="30">
        <f>SUM(E29:E30)</f>
        <v>4</v>
      </c>
      <c r="F28" s="30">
        <f>SUM(F29:F30)</f>
        <v>3</v>
      </c>
      <c r="G28" s="8" t="s">
        <v>84</v>
      </c>
    </row>
    <row r="29" spans="2:7">
      <c r="B29" s="136" t="s">
        <v>52</v>
      </c>
      <c r="C29" s="167"/>
      <c r="D29" s="70"/>
      <c r="E29" s="30">
        <v>2</v>
      </c>
      <c r="F29" s="30">
        <v>2</v>
      </c>
      <c r="G29" s="8" t="s">
        <v>84</v>
      </c>
    </row>
    <row r="30" spans="2:7">
      <c r="B30" s="136" t="s">
        <v>53</v>
      </c>
      <c r="C30" s="167"/>
      <c r="D30" s="70"/>
      <c r="E30" s="30">
        <v>2</v>
      </c>
      <c r="F30" s="30">
        <v>1</v>
      </c>
      <c r="G30" s="8" t="s">
        <v>84</v>
      </c>
    </row>
    <row r="31" spans="2:7" ht="19.5" thickBot="1">
      <c r="B31" s="130" t="s">
        <v>54</v>
      </c>
      <c r="C31" s="149"/>
      <c r="D31" s="71"/>
      <c r="E31" s="31">
        <v>3</v>
      </c>
      <c r="F31" s="31">
        <v>3</v>
      </c>
      <c r="G31" s="8" t="s">
        <v>84</v>
      </c>
    </row>
    <row r="32" spans="2:7" ht="19.5" thickBot="1">
      <c r="B32" s="126" t="s">
        <v>59</v>
      </c>
      <c r="C32" s="170"/>
      <c r="D32" s="93" t="s">
        <v>14</v>
      </c>
      <c r="E32" s="107">
        <f>SUM(E33:E42)</f>
        <v>13</v>
      </c>
      <c r="F32" s="107">
        <f>SUM(F34,F36,F37,F40,F41)</f>
        <v>5</v>
      </c>
      <c r="G32" s="66" t="s">
        <v>84</v>
      </c>
    </row>
    <row r="33" spans="2:7">
      <c r="B33" s="128" t="s">
        <v>58</v>
      </c>
      <c r="C33" s="169"/>
      <c r="D33" s="78"/>
      <c r="E33" s="33"/>
      <c r="F33" s="33"/>
      <c r="G33" s="8" t="s">
        <v>84</v>
      </c>
    </row>
    <row r="34" spans="2:7">
      <c r="B34" s="139" t="s">
        <v>55</v>
      </c>
      <c r="C34" s="140"/>
      <c r="D34" s="78"/>
      <c r="E34" s="33">
        <v>2</v>
      </c>
      <c r="F34" s="33">
        <v>1</v>
      </c>
      <c r="G34" s="5" t="s">
        <v>84</v>
      </c>
    </row>
    <row r="35" spans="2:7">
      <c r="B35" s="143" t="s">
        <v>4</v>
      </c>
      <c r="C35" s="171"/>
      <c r="D35" s="95"/>
      <c r="E35" s="108"/>
      <c r="F35" s="108"/>
      <c r="G35" s="105" t="s">
        <v>84</v>
      </c>
    </row>
    <row r="36" spans="2:7">
      <c r="B36" s="132" t="s">
        <v>56</v>
      </c>
      <c r="C36" s="138"/>
      <c r="D36" s="70"/>
      <c r="E36" s="30">
        <v>2</v>
      </c>
      <c r="F36" s="30">
        <v>1</v>
      </c>
      <c r="G36" s="5" t="s">
        <v>84</v>
      </c>
    </row>
    <row r="37" spans="2:7">
      <c r="B37" s="132" t="s">
        <v>57</v>
      </c>
      <c r="C37" s="138"/>
      <c r="D37" s="70"/>
      <c r="E37" s="30">
        <v>2</v>
      </c>
      <c r="F37" s="30">
        <v>1</v>
      </c>
      <c r="G37" s="5" t="s">
        <v>84</v>
      </c>
    </row>
    <row r="38" spans="2:7">
      <c r="B38" s="132" t="s">
        <v>93</v>
      </c>
      <c r="C38" s="138"/>
      <c r="D38" s="70"/>
      <c r="E38" s="30">
        <v>1</v>
      </c>
      <c r="F38" s="30">
        <v>1</v>
      </c>
      <c r="G38" s="5" t="s">
        <v>84</v>
      </c>
    </row>
    <row r="39" spans="2:7">
      <c r="B39" s="143" t="s">
        <v>5</v>
      </c>
      <c r="C39" s="171"/>
      <c r="D39" s="95"/>
      <c r="E39" s="108"/>
      <c r="F39" s="108"/>
      <c r="G39" s="105" t="s">
        <v>84</v>
      </c>
    </row>
    <row r="40" spans="2:7">
      <c r="B40" s="172" t="s">
        <v>60</v>
      </c>
      <c r="C40" s="173"/>
      <c r="D40" s="77"/>
      <c r="E40" s="30">
        <v>2</v>
      </c>
      <c r="F40" s="30">
        <v>1</v>
      </c>
      <c r="G40" s="5" t="s">
        <v>84</v>
      </c>
    </row>
    <row r="41" spans="2:7">
      <c r="B41" s="152" t="s">
        <v>61</v>
      </c>
      <c r="C41" s="165"/>
      <c r="D41" s="77"/>
      <c r="E41" s="30">
        <v>3</v>
      </c>
      <c r="F41" s="30">
        <v>1</v>
      </c>
      <c r="G41" s="5" t="s">
        <v>84</v>
      </c>
    </row>
    <row r="42" spans="2:7" ht="19.5" thickBot="1">
      <c r="B42" s="178" t="s">
        <v>93</v>
      </c>
      <c r="C42" s="179"/>
      <c r="D42" s="69"/>
      <c r="E42" s="31">
        <v>1</v>
      </c>
      <c r="F42" s="31">
        <v>1</v>
      </c>
      <c r="G42" s="5" t="s">
        <v>84</v>
      </c>
    </row>
    <row r="43" spans="2:7" ht="19.5" thickBot="1">
      <c r="B43" s="141" t="s">
        <v>82</v>
      </c>
      <c r="C43" s="164"/>
      <c r="D43" s="67"/>
      <c r="E43" s="34">
        <f>SUM(E3+E16+E26+F32)</f>
        <v>58</v>
      </c>
      <c r="F43" s="34">
        <f>SUM(F3+F16+F26+F32)</f>
        <v>47</v>
      </c>
      <c r="G43" s="9" t="s">
        <v>84</v>
      </c>
    </row>
  </sheetData>
  <mergeCells count="43">
    <mergeCell ref="I7:J7"/>
    <mergeCell ref="B42:C42"/>
    <mergeCell ref="B20:C20"/>
    <mergeCell ref="B30:C30"/>
    <mergeCell ref="B28:C28"/>
    <mergeCell ref="B23:C23"/>
    <mergeCell ref="B29:C29"/>
    <mergeCell ref="B27:C27"/>
    <mergeCell ref="B26:C26"/>
    <mergeCell ref="B21:C21"/>
    <mergeCell ref="B22:C22"/>
    <mergeCell ref="B13:C13"/>
    <mergeCell ref="B19:C19"/>
    <mergeCell ref="B38:C3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</mergeCells>
  <phoneticPr fontId="1"/>
  <pageMargins left="0.7" right="0.7" top="0.75" bottom="0.75" header="0.3" footer="0.3"/>
  <pageSetup paperSize="9" orientation="portrait" horizontalDpi="1200" verticalDpi="1200" r:id="rId1"/>
  <ignoredErrors>
    <ignoredError sqref="F12 E4:F4 E28:F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52"/>
  <sheetViews>
    <sheetView tabSelected="1" topLeftCell="A22" workbookViewId="0">
      <selection activeCell="G47" sqref="G47"/>
    </sheetView>
  </sheetViews>
  <sheetFormatPr defaultRowHeight="18.75"/>
  <cols>
    <col min="3" max="3" width="18.125" customWidth="1"/>
    <col min="9" max="9" width="18.25" bestFit="1" customWidth="1"/>
    <col min="10" max="10" width="11.25" bestFit="1" customWidth="1"/>
  </cols>
  <sheetData>
    <row r="1" spans="2:13" ht="19.5" thickBot="1"/>
    <row r="2" spans="2:13" ht="19.5" thickBot="1">
      <c r="B2" s="124" t="s">
        <v>62</v>
      </c>
      <c r="C2" s="125"/>
      <c r="D2" s="9" t="s">
        <v>9</v>
      </c>
      <c r="E2" s="9" t="s">
        <v>7</v>
      </c>
      <c r="F2" s="9" t="s">
        <v>8</v>
      </c>
      <c r="G2" s="35" t="s">
        <v>79</v>
      </c>
      <c r="I2" s="44" t="s">
        <v>74</v>
      </c>
      <c r="J2" s="47">
        <f ca="1">TODAY()</f>
        <v>46308</v>
      </c>
      <c r="K2" s="35" t="s">
        <v>83</v>
      </c>
    </row>
    <row r="3" spans="2:13" ht="19.5" thickBot="1">
      <c r="B3" s="126" t="s">
        <v>0</v>
      </c>
      <c r="C3" s="127"/>
      <c r="D3" s="66" t="s">
        <v>12</v>
      </c>
      <c r="E3" s="107">
        <f>SUM(E4+E6+E8+E9+E15)</f>
        <v>13</v>
      </c>
      <c r="F3" s="107">
        <f>SUM(F4+F6+F9+F8+F15)</f>
        <v>20.5</v>
      </c>
      <c r="G3" s="94" t="s">
        <v>80</v>
      </c>
      <c r="I3" s="58" t="s">
        <v>76</v>
      </c>
      <c r="J3" s="46">
        <v>46305</v>
      </c>
      <c r="K3" s="42" t="str">
        <f ca="1">SUM($J3-J2)&amp; "日"</f>
        <v>-3日</v>
      </c>
    </row>
    <row r="4" spans="2:13" ht="19.5" thickBot="1">
      <c r="B4" s="128" t="s">
        <v>64</v>
      </c>
      <c r="C4" s="129"/>
      <c r="D4" s="113"/>
      <c r="E4" s="114">
        <v>2</v>
      </c>
      <c r="F4" s="114">
        <v>2</v>
      </c>
      <c r="G4" s="101" t="s">
        <v>84</v>
      </c>
      <c r="I4" s="63" t="s">
        <v>73</v>
      </c>
      <c r="J4" s="64">
        <v>46314</v>
      </c>
      <c r="K4" s="65" t="str">
        <f ca="1">SUM(J4-J2)&amp; "日"</f>
        <v>6日</v>
      </c>
    </row>
    <row r="5" spans="2:13">
      <c r="B5" s="134" t="s">
        <v>87</v>
      </c>
      <c r="C5" s="135"/>
      <c r="D5" s="5"/>
      <c r="E5" s="30">
        <v>2</v>
      </c>
      <c r="F5" s="30">
        <v>2</v>
      </c>
      <c r="G5" s="39" t="s">
        <v>84</v>
      </c>
      <c r="I5" s="4"/>
      <c r="J5" s="51"/>
      <c r="K5" s="52"/>
    </row>
    <row r="6" spans="2:13">
      <c r="B6" s="132" t="s">
        <v>117</v>
      </c>
      <c r="C6" s="138"/>
      <c r="D6" s="115"/>
      <c r="E6" s="116">
        <f>SUM(E7)</f>
        <v>3</v>
      </c>
      <c r="F6" s="116">
        <f>SUM(F7)</f>
        <v>3</v>
      </c>
      <c r="G6" s="101" t="s">
        <v>84</v>
      </c>
      <c r="I6" s="4"/>
      <c r="J6" s="51"/>
      <c r="K6" s="52"/>
    </row>
    <row r="7" spans="2:13">
      <c r="B7" s="139" t="s">
        <v>118</v>
      </c>
      <c r="C7" s="140"/>
      <c r="D7" s="5"/>
      <c r="E7" s="30">
        <v>3</v>
      </c>
      <c r="F7" s="30">
        <v>3</v>
      </c>
      <c r="G7" s="39" t="s">
        <v>84</v>
      </c>
      <c r="I7" s="154" t="s">
        <v>88</v>
      </c>
      <c r="J7" s="154"/>
      <c r="K7" s="154"/>
      <c r="L7" s="154"/>
      <c r="M7" s="154"/>
    </row>
    <row r="8" spans="2:13">
      <c r="B8" s="132" t="s">
        <v>65</v>
      </c>
      <c r="C8" s="133"/>
      <c r="D8" s="115"/>
      <c r="E8" s="116">
        <v>2</v>
      </c>
      <c r="F8" s="116">
        <v>5</v>
      </c>
      <c r="G8" s="101" t="s">
        <v>84</v>
      </c>
      <c r="I8" s="4"/>
      <c r="J8" s="51"/>
      <c r="K8" s="52"/>
    </row>
    <row r="9" spans="2:13">
      <c r="B9" s="130" t="s">
        <v>68</v>
      </c>
      <c r="C9" s="131"/>
      <c r="D9" s="117"/>
      <c r="E9" s="118">
        <f>SUM(E10+E11+E12+E13)</f>
        <v>2</v>
      </c>
      <c r="F9" s="118">
        <f>SUM(F10:F13)</f>
        <v>4</v>
      </c>
      <c r="G9" s="99" t="s">
        <v>84</v>
      </c>
    </row>
    <row r="10" spans="2:13" ht="19.5" thickBot="1">
      <c r="B10" s="139" t="s">
        <v>89</v>
      </c>
      <c r="C10" s="157"/>
      <c r="D10" s="5"/>
      <c r="E10" s="30">
        <v>0.5</v>
      </c>
      <c r="F10" s="30">
        <v>1</v>
      </c>
      <c r="G10" s="81" t="s">
        <v>84</v>
      </c>
      <c r="I10" t="s">
        <v>119</v>
      </c>
    </row>
    <row r="11" spans="2:13" ht="19.5" thickBot="1">
      <c r="B11" s="139" t="s">
        <v>90</v>
      </c>
      <c r="C11" s="157"/>
      <c r="D11" s="5"/>
      <c r="E11" s="30">
        <v>0.5</v>
      </c>
      <c r="F11" s="30">
        <v>1</v>
      </c>
      <c r="G11" s="81" t="s">
        <v>84</v>
      </c>
      <c r="I11" s="160" t="s">
        <v>103</v>
      </c>
      <c r="J11" s="161"/>
    </row>
    <row r="12" spans="2:13">
      <c r="B12" s="139" t="s">
        <v>91</v>
      </c>
      <c r="C12" s="157"/>
      <c r="D12" s="5"/>
      <c r="E12" s="30">
        <v>0.5</v>
      </c>
      <c r="F12" s="30">
        <v>1</v>
      </c>
      <c r="G12" s="81" t="s">
        <v>84</v>
      </c>
      <c r="I12" s="102" t="s">
        <v>99</v>
      </c>
      <c r="J12" s="85">
        <f>SUM(F3+E33+E40)</f>
        <v>33</v>
      </c>
    </row>
    <row r="13" spans="2:13">
      <c r="B13" s="158" t="s">
        <v>28</v>
      </c>
      <c r="C13" s="159"/>
      <c r="D13" s="7"/>
      <c r="E13" s="31">
        <v>0.5</v>
      </c>
      <c r="F13" s="30">
        <v>1</v>
      </c>
      <c r="G13" s="81" t="s">
        <v>84</v>
      </c>
      <c r="I13" s="103" t="s">
        <v>11</v>
      </c>
      <c r="J13" s="86">
        <f>SUM(E19)</f>
        <v>11</v>
      </c>
    </row>
    <row r="14" spans="2:13">
      <c r="B14" s="139" t="s">
        <v>100</v>
      </c>
      <c r="C14" s="140"/>
      <c r="D14" s="7"/>
      <c r="E14" s="31">
        <v>0.5</v>
      </c>
      <c r="F14" s="31">
        <v>1</v>
      </c>
      <c r="G14" s="81" t="s">
        <v>84</v>
      </c>
      <c r="I14" s="103" t="s">
        <v>10</v>
      </c>
      <c r="J14" s="86">
        <f>SUM(E26)</f>
        <v>6</v>
      </c>
    </row>
    <row r="15" spans="2:13" ht="19.5" thickBot="1">
      <c r="B15" s="130" t="s">
        <v>104</v>
      </c>
      <c r="C15" s="131"/>
      <c r="D15" s="117"/>
      <c r="E15" s="118">
        <v>4</v>
      </c>
      <c r="F15" s="118">
        <f>SUM(F16:F18)</f>
        <v>6.5</v>
      </c>
      <c r="G15" s="100" t="s">
        <v>84</v>
      </c>
      <c r="I15" s="104" t="s">
        <v>14</v>
      </c>
      <c r="J15" s="87">
        <f>SUM(E31)</f>
        <v>16.5</v>
      </c>
    </row>
    <row r="16" spans="2:13" ht="19.5" thickBot="1">
      <c r="B16" s="136" t="s">
        <v>107</v>
      </c>
      <c r="C16" s="137"/>
      <c r="D16" s="5"/>
      <c r="E16" s="30">
        <v>1</v>
      </c>
      <c r="F16" s="30">
        <v>1</v>
      </c>
      <c r="G16" s="53" t="s">
        <v>84</v>
      </c>
      <c r="I16" s="121" t="s">
        <v>101</v>
      </c>
      <c r="J16" s="79">
        <f>SUM(J12:J15)</f>
        <v>66.5</v>
      </c>
    </row>
    <row r="17" spans="2:7">
      <c r="B17" s="136" t="s">
        <v>108</v>
      </c>
      <c r="C17" s="137"/>
      <c r="D17" s="5"/>
      <c r="E17" s="30">
        <v>5</v>
      </c>
      <c r="F17" s="30">
        <v>5</v>
      </c>
      <c r="G17" s="53" t="s">
        <v>84</v>
      </c>
    </row>
    <row r="18" spans="2:7" ht="19.5" thickBot="1">
      <c r="B18" s="162" t="s">
        <v>109</v>
      </c>
      <c r="C18" s="163"/>
      <c r="D18" s="6"/>
      <c r="E18" s="32">
        <v>1</v>
      </c>
      <c r="F18" s="32">
        <v>0.5</v>
      </c>
      <c r="G18" s="98" t="s">
        <v>84</v>
      </c>
    </row>
    <row r="19" spans="2:7" ht="19.5" thickBot="1">
      <c r="B19" s="155" t="s">
        <v>1</v>
      </c>
      <c r="C19" s="156"/>
      <c r="D19" s="110" t="s">
        <v>11</v>
      </c>
      <c r="E19" s="111">
        <f>SUM(E20:E23)</f>
        <v>11</v>
      </c>
      <c r="F19" s="111">
        <f>SUM(F20:F23)</f>
        <v>3</v>
      </c>
      <c r="G19" s="112" t="s">
        <v>80</v>
      </c>
    </row>
    <row r="20" spans="2:7">
      <c r="B20" s="128" t="s">
        <v>64</v>
      </c>
      <c r="C20" s="129"/>
      <c r="D20" s="119"/>
      <c r="E20" s="120">
        <v>2</v>
      </c>
      <c r="F20" s="120">
        <v>1</v>
      </c>
      <c r="G20" s="101" t="s">
        <v>84</v>
      </c>
    </row>
    <row r="21" spans="2:7">
      <c r="B21" s="132" t="s">
        <v>94</v>
      </c>
      <c r="C21" s="133"/>
      <c r="D21" s="119"/>
      <c r="E21" s="120">
        <v>4</v>
      </c>
      <c r="F21" s="120"/>
      <c r="G21" s="101" t="s">
        <v>80</v>
      </c>
    </row>
    <row r="22" spans="2:7">
      <c r="B22" s="132" t="s">
        <v>65</v>
      </c>
      <c r="C22" s="133"/>
      <c r="D22" s="115"/>
      <c r="E22" s="116">
        <v>3</v>
      </c>
      <c r="F22" s="116">
        <v>2</v>
      </c>
      <c r="G22" s="101" t="s">
        <v>84</v>
      </c>
    </row>
    <row r="23" spans="2:7">
      <c r="B23" s="152" t="s">
        <v>69</v>
      </c>
      <c r="C23" s="153"/>
      <c r="D23" s="115"/>
      <c r="E23" s="116">
        <v>2</v>
      </c>
      <c r="F23" s="116"/>
      <c r="G23" s="99" t="s">
        <v>80</v>
      </c>
    </row>
    <row r="24" spans="2:7">
      <c r="B24" s="136" t="s">
        <v>89</v>
      </c>
      <c r="C24" s="137"/>
      <c r="D24" s="5"/>
      <c r="E24" s="30">
        <v>1</v>
      </c>
      <c r="F24" s="30"/>
      <c r="G24" s="81" t="s">
        <v>80</v>
      </c>
    </row>
    <row r="25" spans="2:7" ht="19.5" thickBot="1">
      <c r="B25" s="122" t="s">
        <v>47</v>
      </c>
      <c r="C25" s="123"/>
      <c r="D25" s="7"/>
      <c r="E25" s="31">
        <v>1</v>
      </c>
      <c r="F25" s="31"/>
      <c r="G25" s="53" t="s">
        <v>80</v>
      </c>
    </row>
    <row r="26" spans="2:7" ht="19.5" thickBot="1">
      <c r="B26" s="126" t="s">
        <v>2</v>
      </c>
      <c r="C26" s="127"/>
      <c r="D26" s="66" t="s">
        <v>10</v>
      </c>
      <c r="E26" s="107">
        <f>SUM(E27+E29)</f>
        <v>6</v>
      </c>
      <c r="F26" s="107">
        <f>SUM(F27:F30)</f>
        <v>6</v>
      </c>
      <c r="G26" s="94" t="s">
        <v>80</v>
      </c>
    </row>
    <row r="27" spans="2:7">
      <c r="B27" s="152" t="s">
        <v>95</v>
      </c>
      <c r="C27" s="153"/>
      <c r="D27" s="115"/>
      <c r="E27" s="116">
        <v>1</v>
      </c>
      <c r="F27" s="116"/>
      <c r="G27" s="99" t="s">
        <v>80</v>
      </c>
    </row>
    <row r="28" spans="2:7">
      <c r="B28" s="122" t="s">
        <v>33</v>
      </c>
      <c r="C28" s="123"/>
      <c r="D28" s="7"/>
      <c r="E28" s="31">
        <v>2</v>
      </c>
      <c r="F28" s="31"/>
      <c r="G28" s="53" t="s">
        <v>80</v>
      </c>
    </row>
    <row r="29" spans="2:7">
      <c r="B29" s="130" t="s">
        <v>6</v>
      </c>
      <c r="C29" s="149"/>
      <c r="D29" s="117"/>
      <c r="E29" s="118">
        <v>5</v>
      </c>
      <c r="F29" s="118">
        <v>5</v>
      </c>
      <c r="G29" s="100" t="s">
        <v>84</v>
      </c>
    </row>
    <row r="30" spans="2:7" ht="19.5" thickBot="1">
      <c r="B30" s="150" t="s">
        <v>87</v>
      </c>
      <c r="C30" s="151"/>
      <c r="D30" s="6"/>
      <c r="E30" s="32">
        <v>1</v>
      </c>
      <c r="F30" s="32">
        <v>1</v>
      </c>
      <c r="G30" s="53" t="s">
        <v>80</v>
      </c>
    </row>
    <row r="31" spans="2:7" ht="19.5" thickBot="1">
      <c r="B31" s="126" t="s">
        <v>59</v>
      </c>
      <c r="C31" s="127"/>
      <c r="D31" s="66" t="s">
        <v>14</v>
      </c>
      <c r="E31" s="107">
        <f>SUM(E32+E33+E41+E47)</f>
        <v>16.5</v>
      </c>
      <c r="F31" s="107">
        <f>SUM(F32+F41+F47)</f>
        <v>0</v>
      </c>
      <c r="G31" s="94" t="s">
        <v>80</v>
      </c>
    </row>
    <row r="32" spans="2:7">
      <c r="B32" s="128" t="s">
        <v>63</v>
      </c>
      <c r="C32" s="129"/>
      <c r="D32" s="119"/>
      <c r="E32" s="120">
        <v>5</v>
      </c>
      <c r="F32" s="120"/>
      <c r="G32" s="99" t="s">
        <v>120</v>
      </c>
    </row>
    <row r="33" spans="2:7">
      <c r="B33" s="143" t="s">
        <v>96</v>
      </c>
      <c r="C33" s="144"/>
      <c r="D33" s="105" t="s">
        <v>97</v>
      </c>
      <c r="E33" s="106">
        <f>SUM(E34+E35)</f>
        <v>7.5</v>
      </c>
      <c r="F33" s="106">
        <f>SUM(F34+F35)</f>
        <v>6.5</v>
      </c>
      <c r="G33" s="96" t="s">
        <v>84</v>
      </c>
    </row>
    <row r="34" spans="2:7">
      <c r="B34" s="132" t="s">
        <v>110</v>
      </c>
      <c r="C34" s="138"/>
      <c r="D34" s="115"/>
      <c r="E34" s="120">
        <v>0.5</v>
      </c>
      <c r="F34" s="120">
        <v>0.5</v>
      </c>
      <c r="G34" s="99" t="s">
        <v>84</v>
      </c>
    </row>
    <row r="35" spans="2:7">
      <c r="B35" s="132" t="s">
        <v>93</v>
      </c>
      <c r="C35" s="138"/>
      <c r="D35" s="115"/>
      <c r="E35" s="120">
        <f>SUM(E36+E37+E38+E39)</f>
        <v>7</v>
      </c>
      <c r="F35" s="120">
        <f>SUM(F36+F37+F38+F39)</f>
        <v>6</v>
      </c>
      <c r="G35" s="99" t="s">
        <v>84</v>
      </c>
    </row>
    <row r="36" spans="2:7">
      <c r="B36" s="145" t="s">
        <v>111</v>
      </c>
      <c r="C36" s="146"/>
      <c r="D36" s="5"/>
      <c r="E36" s="33">
        <f>2</f>
        <v>2</v>
      </c>
      <c r="F36" s="33">
        <v>1.5</v>
      </c>
      <c r="G36" s="81" t="s">
        <v>84</v>
      </c>
    </row>
    <row r="37" spans="2:7">
      <c r="B37" s="145" t="s">
        <v>112</v>
      </c>
      <c r="C37" s="146"/>
      <c r="D37" s="5"/>
      <c r="E37" s="33">
        <v>2</v>
      </c>
      <c r="F37" s="33">
        <v>1.5</v>
      </c>
      <c r="G37" s="81" t="s">
        <v>84</v>
      </c>
    </row>
    <row r="38" spans="2:7">
      <c r="B38" s="145" t="s">
        <v>113</v>
      </c>
      <c r="C38" s="146"/>
      <c r="D38" s="5"/>
      <c r="E38" s="33">
        <v>2</v>
      </c>
      <c r="F38" s="33">
        <v>1.5</v>
      </c>
      <c r="G38" s="81" t="s">
        <v>84</v>
      </c>
    </row>
    <row r="39" spans="2:7">
      <c r="B39" s="139" t="s">
        <v>114</v>
      </c>
      <c r="C39" s="140"/>
      <c r="D39" s="5"/>
      <c r="E39" s="33">
        <v>1</v>
      </c>
      <c r="F39" s="33">
        <v>1.5</v>
      </c>
      <c r="G39" s="81" t="s">
        <v>84</v>
      </c>
    </row>
    <row r="40" spans="2:7">
      <c r="B40" s="143" t="s">
        <v>4</v>
      </c>
      <c r="C40" s="144"/>
      <c r="D40" s="105" t="s">
        <v>97</v>
      </c>
      <c r="E40" s="108">
        <f>SUM(E41:E43)</f>
        <v>5</v>
      </c>
      <c r="F40" s="108"/>
      <c r="G40" s="96" t="s">
        <v>80</v>
      </c>
    </row>
    <row r="41" spans="2:7">
      <c r="B41" s="132" t="s">
        <v>66</v>
      </c>
      <c r="C41" s="133"/>
      <c r="D41" s="115"/>
      <c r="E41" s="116">
        <v>2</v>
      </c>
      <c r="F41" s="116"/>
      <c r="G41" s="99" t="s">
        <v>80</v>
      </c>
    </row>
    <row r="42" spans="2:7">
      <c r="B42" s="132" t="s">
        <v>98</v>
      </c>
      <c r="C42" s="133"/>
      <c r="D42" s="115"/>
      <c r="E42" s="116">
        <v>2</v>
      </c>
      <c r="F42" s="116">
        <v>2</v>
      </c>
      <c r="G42" s="99" t="s">
        <v>84</v>
      </c>
    </row>
    <row r="43" spans="2:7">
      <c r="B43" s="132" t="s">
        <v>67</v>
      </c>
      <c r="C43" s="138"/>
      <c r="D43" s="115"/>
      <c r="E43" s="116">
        <f>SUM(E44+E45)</f>
        <v>1</v>
      </c>
      <c r="F43" s="116"/>
      <c r="G43" s="99" t="s">
        <v>84</v>
      </c>
    </row>
    <row r="44" spans="2:7">
      <c r="B44" s="145" t="s">
        <v>116</v>
      </c>
      <c r="C44" s="146"/>
      <c r="D44" s="5"/>
      <c r="E44" s="30">
        <v>0.5</v>
      </c>
      <c r="F44" s="30"/>
      <c r="G44" s="81" t="s">
        <v>84</v>
      </c>
    </row>
    <row r="45" spans="2:7">
      <c r="B45" s="139" t="s">
        <v>115</v>
      </c>
      <c r="C45" s="140"/>
      <c r="D45" s="5"/>
      <c r="E45" s="30">
        <v>0.5</v>
      </c>
      <c r="F45" s="30"/>
      <c r="G45" s="81" t="s">
        <v>84</v>
      </c>
    </row>
    <row r="46" spans="2:7">
      <c r="B46" s="143" t="s">
        <v>5</v>
      </c>
      <c r="C46" s="144"/>
      <c r="D46" s="105"/>
      <c r="E46" s="108"/>
      <c r="F46" s="108"/>
      <c r="G46" s="96" t="s">
        <v>120</v>
      </c>
    </row>
    <row r="47" spans="2:7">
      <c r="B47" s="147" t="s">
        <v>66</v>
      </c>
      <c r="C47" s="148"/>
      <c r="D47" s="117"/>
      <c r="E47" s="118">
        <v>2</v>
      </c>
      <c r="F47" s="118"/>
      <c r="G47" s="100" t="s">
        <v>120</v>
      </c>
    </row>
    <row r="48" spans="2:7">
      <c r="B48" s="132" t="s">
        <v>98</v>
      </c>
      <c r="C48" s="133"/>
      <c r="D48" s="117"/>
      <c r="E48" s="118"/>
      <c r="F48" s="118"/>
      <c r="G48" s="100" t="s">
        <v>120</v>
      </c>
    </row>
    <row r="49" spans="2:7">
      <c r="B49" s="143" t="s">
        <v>100</v>
      </c>
      <c r="C49" s="144"/>
      <c r="D49" s="105"/>
      <c r="E49" s="108"/>
      <c r="F49" s="108"/>
      <c r="G49" s="109" t="s">
        <v>80</v>
      </c>
    </row>
    <row r="50" spans="2:7">
      <c r="B50" s="147" t="s">
        <v>66</v>
      </c>
      <c r="C50" s="148"/>
      <c r="D50" s="115"/>
      <c r="E50" s="116">
        <v>2</v>
      </c>
      <c r="F50" s="116"/>
      <c r="G50" s="100" t="s">
        <v>80</v>
      </c>
    </row>
    <row r="51" spans="2:7" ht="19.5" thickBot="1">
      <c r="B51" s="130" t="s">
        <v>98</v>
      </c>
      <c r="C51" s="131"/>
      <c r="D51" s="117"/>
      <c r="E51" s="118">
        <v>2</v>
      </c>
      <c r="F51" s="118"/>
      <c r="G51" s="100" t="s">
        <v>80</v>
      </c>
    </row>
    <row r="52" spans="2:7">
      <c r="B52" s="141" t="s">
        <v>34</v>
      </c>
      <c r="C52" s="142"/>
      <c r="D52" s="9"/>
      <c r="E52" s="34">
        <f>SUM(E3+E19+E26+E31)</f>
        <v>46.5</v>
      </c>
      <c r="F52" s="34">
        <f>SUM(F3+F19+F26+F31)</f>
        <v>29.5</v>
      </c>
      <c r="G52" s="88"/>
    </row>
  </sheetData>
  <mergeCells count="53">
    <mergeCell ref="I7:M7"/>
    <mergeCell ref="B19:C19"/>
    <mergeCell ref="B20:C20"/>
    <mergeCell ref="B22:C22"/>
    <mergeCell ref="B23:C23"/>
    <mergeCell ref="B10:C10"/>
    <mergeCell ref="B11:C11"/>
    <mergeCell ref="B12:C12"/>
    <mergeCell ref="B13:C13"/>
    <mergeCell ref="B21:C21"/>
    <mergeCell ref="I11:J11"/>
    <mergeCell ref="B15:C15"/>
    <mergeCell ref="B16:C16"/>
    <mergeCell ref="B17:C17"/>
    <mergeCell ref="B18:C18"/>
    <mergeCell ref="B14:C14"/>
    <mergeCell ref="B28:C28"/>
    <mergeCell ref="B31:C31"/>
    <mergeCell ref="B26:C26"/>
    <mergeCell ref="B47:C47"/>
    <mergeCell ref="B42:C42"/>
    <mergeCell ref="B45:C45"/>
    <mergeCell ref="B29:C29"/>
    <mergeCell ref="B30:C30"/>
    <mergeCell ref="B27:C27"/>
    <mergeCell ref="B34:C34"/>
    <mergeCell ref="B37:C37"/>
    <mergeCell ref="B38:C38"/>
    <mergeCell ref="B35:C35"/>
    <mergeCell ref="B36:C36"/>
    <mergeCell ref="B39:C39"/>
    <mergeCell ref="B52:C52"/>
    <mergeCell ref="B32:C32"/>
    <mergeCell ref="B40:C40"/>
    <mergeCell ref="B41:C41"/>
    <mergeCell ref="B46:C46"/>
    <mergeCell ref="B33:C33"/>
    <mergeCell ref="B48:C48"/>
    <mergeCell ref="B43:C43"/>
    <mergeCell ref="B44:C44"/>
    <mergeCell ref="B49:C49"/>
    <mergeCell ref="B50:C50"/>
    <mergeCell ref="B51:C51"/>
    <mergeCell ref="B25:C25"/>
    <mergeCell ref="B2:C2"/>
    <mergeCell ref="B3:C3"/>
    <mergeCell ref="B4:C4"/>
    <mergeCell ref="B9:C9"/>
    <mergeCell ref="B8:C8"/>
    <mergeCell ref="B5:C5"/>
    <mergeCell ref="B24:C24"/>
    <mergeCell ref="B6:C6"/>
    <mergeCell ref="B7:C7"/>
  </mergeCells>
  <phoneticPr fontId="1"/>
  <pageMargins left="0.7" right="0.7" top="0.75" bottom="0.75" header="0.3" footer="0.3"/>
  <ignoredErrors>
    <ignoredError sqref="E1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21"/>
  <sheetViews>
    <sheetView workbookViewId="0">
      <selection activeCell="B6" sqref="B6:C6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92" t="s">
        <v>70</v>
      </c>
      <c r="C2" s="193"/>
      <c r="D2" s="9" t="s">
        <v>9</v>
      </c>
      <c r="E2" s="9" t="s">
        <v>7</v>
      </c>
      <c r="F2" s="35" t="s">
        <v>8</v>
      </c>
      <c r="G2" s="35" t="s">
        <v>79</v>
      </c>
    </row>
    <row r="3" spans="2:12" ht="19.5" thickBot="1">
      <c r="B3" s="188" t="s">
        <v>0</v>
      </c>
      <c r="C3" s="189"/>
      <c r="D3" s="9" t="s">
        <v>12</v>
      </c>
      <c r="E3" s="34">
        <f>SUM(E4)</f>
        <v>3</v>
      </c>
      <c r="F3" s="56">
        <f>SUM(F4)</f>
        <v>0</v>
      </c>
      <c r="G3" s="35" t="s">
        <v>80</v>
      </c>
      <c r="J3" s="44" t="s">
        <v>74</v>
      </c>
      <c r="K3" s="47">
        <f ca="1">TODAY()</f>
        <v>46308</v>
      </c>
      <c r="L3" s="35" t="s">
        <v>83</v>
      </c>
    </row>
    <row r="4" spans="2:12">
      <c r="B4" s="194" t="s">
        <v>71</v>
      </c>
      <c r="C4" s="195"/>
      <c r="D4" s="73"/>
      <c r="E4" s="74">
        <v>3</v>
      </c>
      <c r="F4" s="72">
        <f>SUM(F6)</f>
        <v>0</v>
      </c>
      <c r="G4" s="75" t="s">
        <v>80</v>
      </c>
      <c r="J4" s="48" t="s">
        <v>77</v>
      </c>
      <c r="K4" s="45">
        <v>46310</v>
      </c>
      <c r="L4" s="41" t="str">
        <f ca="1">SUM($L4-I1)&amp; "日"</f>
        <v>15日</v>
      </c>
    </row>
    <row r="5" spans="2:12" ht="19.5" thickBot="1">
      <c r="B5" s="130" t="s">
        <v>106</v>
      </c>
      <c r="C5" s="149"/>
      <c r="D5" s="7"/>
      <c r="E5" s="31">
        <v>3</v>
      </c>
      <c r="F5" s="62"/>
      <c r="G5" s="53"/>
      <c r="J5" s="49" t="s">
        <v>78</v>
      </c>
      <c r="K5" s="45">
        <v>46313</v>
      </c>
      <c r="L5" s="41" t="str">
        <f ca="1">SUM($L5-I1)&amp; "日"</f>
        <v>18日</v>
      </c>
    </row>
    <row r="6" spans="2:12" ht="19.5" thickBot="1">
      <c r="B6" s="188" t="s">
        <v>1</v>
      </c>
      <c r="C6" s="189"/>
      <c r="D6" s="9" t="s">
        <v>11</v>
      </c>
      <c r="E6" s="34">
        <f>SUM(E7)</f>
        <v>3</v>
      </c>
      <c r="F6" s="56">
        <f t="shared" ref="F6" si="0">SUM(F7)</f>
        <v>0</v>
      </c>
      <c r="G6" s="35" t="s">
        <v>80</v>
      </c>
      <c r="J6" s="50" t="s">
        <v>73</v>
      </c>
      <c r="K6" s="46">
        <v>46314</v>
      </c>
      <c r="L6" s="42" t="str">
        <f ca="1">SUM(K6-K3)&amp; "日"</f>
        <v>6日</v>
      </c>
    </row>
    <row r="7" spans="2:12">
      <c r="B7" s="186" t="s">
        <v>72</v>
      </c>
      <c r="C7" s="187"/>
      <c r="D7" s="57"/>
      <c r="E7" s="59">
        <v>3</v>
      </c>
      <c r="F7" s="72">
        <f>SUM(F9)</f>
        <v>0</v>
      </c>
      <c r="G7" s="60" t="s">
        <v>80</v>
      </c>
    </row>
    <row r="8" spans="2:12" ht="19.5" thickBot="1">
      <c r="B8" s="130" t="s">
        <v>67</v>
      </c>
      <c r="C8" s="149"/>
      <c r="D8" s="7"/>
      <c r="E8" s="31">
        <v>3</v>
      </c>
      <c r="F8" s="62"/>
      <c r="G8" s="53"/>
      <c r="J8" s="4"/>
      <c r="K8" s="51"/>
      <c r="L8" s="52"/>
    </row>
    <row r="9" spans="2:12" ht="19.5" thickBot="1">
      <c r="B9" s="188" t="s">
        <v>2</v>
      </c>
      <c r="C9" s="189"/>
      <c r="D9" s="9" t="s">
        <v>10</v>
      </c>
      <c r="E9" s="34">
        <f>SUM(E10:E11)</f>
        <v>5</v>
      </c>
      <c r="F9" s="56">
        <f>SUM(F10:F11)</f>
        <v>0</v>
      </c>
      <c r="G9" s="35" t="s">
        <v>80</v>
      </c>
    </row>
    <row r="10" spans="2:12">
      <c r="B10" s="180" t="s">
        <v>71</v>
      </c>
      <c r="C10" s="190"/>
      <c r="D10" s="8"/>
      <c r="E10" s="33">
        <v>3</v>
      </c>
      <c r="F10" s="43"/>
      <c r="G10" s="39" t="s">
        <v>80</v>
      </c>
    </row>
    <row r="11" spans="2:12" ht="19.5" thickBot="1">
      <c r="B11" s="178" t="s">
        <v>67</v>
      </c>
      <c r="C11" s="191"/>
      <c r="D11" s="7"/>
      <c r="E11" s="31">
        <v>2</v>
      </c>
      <c r="F11" s="62"/>
      <c r="G11" s="53" t="s">
        <v>80</v>
      </c>
    </row>
    <row r="12" spans="2:12" ht="19.5" thickBot="1">
      <c r="B12" s="188" t="s">
        <v>59</v>
      </c>
      <c r="C12" s="189"/>
      <c r="D12" s="9" t="s">
        <v>14</v>
      </c>
      <c r="E12" s="34">
        <f>SUM(E13)</f>
        <v>2</v>
      </c>
      <c r="F12" s="56">
        <f>SUM(F14+F17)</f>
        <v>0</v>
      </c>
      <c r="G12" s="35" t="s">
        <v>80</v>
      </c>
    </row>
    <row r="13" spans="2:12" ht="19.5" thickBot="1">
      <c r="B13" s="186" t="s">
        <v>71</v>
      </c>
      <c r="C13" s="187"/>
      <c r="D13" s="57"/>
      <c r="E13" s="59">
        <v>2</v>
      </c>
      <c r="F13" s="61"/>
      <c r="G13" s="60" t="s">
        <v>80</v>
      </c>
    </row>
    <row r="14" spans="2:12" ht="19.5" thickBot="1">
      <c r="B14" s="188" t="s">
        <v>4</v>
      </c>
      <c r="C14" s="189"/>
      <c r="D14" s="9"/>
      <c r="E14" s="34">
        <f>SUM(E15:E16)</f>
        <v>2</v>
      </c>
      <c r="F14" s="56">
        <f>SUM(F15:F16)</f>
        <v>0</v>
      </c>
      <c r="G14" s="35" t="s">
        <v>80</v>
      </c>
    </row>
    <row r="15" spans="2:12">
      <c r="B15" s="180" t="s">
        <v>67</v>
      </c>
      <c r="C15" s="190"/>
      <c r="D15" s="8"/>
      <c r="E15" s="33">
        <v>1</v>
      </c>
      <c r="F15" s="43"/>
      <c r="G15" s="39" t="s">
        <v>80</v>
      </c>
    </row>
    <row r="16" spans="2:12" ht="19.5" thickBot="1">
      <c r="B16" s="178" t="s">
        <v>71</v>
      </c>
      <c r="C16" s="191"/>
      <c r="D16" s="7"/>
      <c r="E16" s="31">
        <v>1</v>
      </c>
      <c r="F16" s="62"/>
      <c r="G16" s="53" t="s">
        <v>80</v>
      </c>
    </row>
    <row r="17" spans="2:7" ht="19.5" thickBot="1">
      <c r="B17" s="188" t="s">
        <v>5</v>
      </c>
      <c r="C17" s="189"/>
      <c r="D17" s="9"/>
      <c r="E17" s="34">
        <f>SUM(E18:E19)</f>
        <v>2</v>
      </c>
      <c r="F17" s="56">
        <f>SUM(F18:F19)</f>
        <v>0</v>
      </c>
      <c r="G17" s="35" t="s">
        <v>80</v>
      </c>
    </row>
    <row r="18" spans="2:7">
      <c r="B18" s="180" t="s">
        <v>67</v>
      </c>
      <c r="C18" s="190"/>
      <c r="D18" s="8"/>
      <c r="E18" s="33">
        <v>1</v>
      </c>
      <c r="F18" s="43"/>
      <c r="G18" s="39" t="s">
        <v>80</v>
      </c>
    </row>
    <row r="19" spans="2:7" ht="19.5" thickBot="1">
      <c r="B19" s="182" t="s">
        <v>71</v>
      </c>
      <c r="C19" s="183"/>
      <c r="D19" s="6"/>
      <c r="E19" s="32">
        <v>1</v>
      </c>
      <c r="F19" s="42"/>
      <c r="G19" s="53" t="s">
        <v>80</v>
      </c>
    </row>
    <row r="20" spans="2:7" ht="19.5" thickBot="1">
      <c r="B20" s="184" t="s">
        <v>34</v>
      </c>
      <c r="C20" s="185"/>
      <c r="D20" s="9"/>
      <c r="E20" s="34">
        <f>SUM(E3+E6+E9+E12+E14+E17)</f>
        <v>17</v>
      </c>
      <c r="F20" s="34">
        <f>SUM(F3+F6+F9+F12+F14+F17)</f>
        <v>0</v>
      </c>
      <c r="G20" s="9"/>
    </row>
    <row r="21" spans="2:7">
      <c r="G21" s="4"/>
    </row>
  </sheetData>
  <mergeCells count="19">
    <mergeCell ref="B2:C2"/>
    <mergeCell ref="B3:C3"/>
    <mergeCell ref="B4:C4"/>
    <mergeCell ref="B10:C10"/>
    <mergeCell ref="B11:C11"/>
    <mergeCell ref="B5:C5"/>
    <mergeCell ref="B8:C8"/>
    <mergeCell ref="B12:C12"/>
    <mergeCell ref="B9:C9"/>
    <mergeCell ref="B6:C6"/>
    <mergeCell ref="B7:C7"/>
    <mergeCell ref="B18:C18"/>
    <mergeCell ref="B19:C19"/>
    <mergeCell ref="B20:C20"/>
    <mergeCell ref="B13:C13"/>
    <mergeCell ref="B14:C14"/>
    <mergeCell ref="B15:C15"/>
    <mergeCell ref="B16:C16"/>
    <mergeCell ref="B17:C17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B11" sqref="B11"/>
    </sheetView>
  </sheetViews>
  <sheetFormatPr defaultRowHeight="18.75"/>
  <sheetData>
    <row r="1" spans="2:11" ht="36" thickBot="1">
      <c r="C1" s="196" t="s">
        <v>22</v>
      </c>
      <c r="D1" s="196"/>
      <c r="E1" s="196"/>
      <c r="F1" s="196"/>
      <c r="G1" s="196"/>
    </row>
    <row r="2" spans="2:11" ht="19.5" thickBot="1">
      <c r="B2" s="24" t="s">
        <v>15</v>
      </c>
      <c r="C2" s="25" t="s">
        <v>16</v>
      </c>
      <c r="D2" s="25" t="s">
        <v>17</v>
      </c>
      <c r="E2" s="25" t="s">
        <v>18</v>
      </c>
      <c r="F2" s="25" t="s">
        <v>19</v>
      </c>
      <c r="G2" s="25" t="s">
        <v>20</v>
      </c>
      <c r="H2" s="26" t="s">
        <v>21</v>
      </c>
      <c r="J2" t="s">
        <v>36</v>
      </c>
    </row>
    <row r="3" spans="2:11">
      <c r="B3" s="21"/>
      <c r="D3" s="22">
        <v>46266</v>
      </c>
      <c r="E3" s="22">
        <f>SUM(D3)+1</f>
        <v>46267</v>
      </c>
      <c r="F3" s="22">
        <f t="shared" ref="F3:H3" si="0">SUM(E3)+1</f>
        <v>46268</v>
      </c>
      <c r="G3" s="22">
        <f t="shared" si="0"/>
        <v>46269</v>
      </c>
      <c r="H3" s="23">
        <f t="shared" si="0"/>
        <v>46270</v>
      </c>
      <c r="J3" s="13"/>
      <c r="K3" t="s">
        <v>23</v>
      </c>
    </row>
    <row r="4" spans="2:11">
      <c r="B4" s="17">
        <f>SUM(H3)+1</f>
        <v>46271</v>
      </c>
      <c r="C4" s="16">
        <f>SUM(B4)+1</f>
        <v>46272</v>
      </c>
      <c r="D4" s="16">
        <f t="shared" ref="D4:H4" si="1">SUM(C4)+1</f>
        <v>46273</v>
      </c>
      <c r="E4" s="36">
        <f t="shared" si="1"/>
        <v>46274</v>
      </c>
      <c r="F4" s="36">
        <f t="shared" si="1"/>
        <v>46275</v>
      </c>
      <c r="G4" s="36">
        <f t="shared" si="1"/>
        <v>46276</v>
      </c>
      <c r="H4" s="37">
        <f t="shared" si="1"/>
        <v>46277</v>
      </c>
      <c r="J4" s="14"/>
      <c r="K4" t="s">
        <v>24</v>
      </c>
    </row>
    <row r="5" spans="2:11">
      <c r="B5" s="38">
        <f>SUM(H4)+1</f>
        <v>46278</v>
      </c>
      <c r="C5" s="36">
        <f>SUM(B5)+1</f>
        <v>46279</v>
      </c>
      <c r="D5" s="36">
        <f t="shared" ref="D5:H5" si="2">SUM(C5)+1</f>
        <v>46280</v>
      </c>
      <c r="E5" s="36">
        <f t="shared" si="2"/>
        <v>46281</v>
      </c>
      <c r="F5" s="36">
        <f t="shared" si="2"/>
        <v>46282</v>
      </c>
      <c r="G5" s="36">
        <f t="shared" si="2"/>
        <v>46283</v>
      </c>
      <c r="H5" s="37">
        <f t="shared" si="2"/>
        <v>46284</v>
      </c>
      <c r="J5" s="15"/>
      <c r="K5" t="s">
        <v>25</v>
      </c>
    </row>
    <row r="6" spans="2:11">
      <c r="B6" s="38">
        <f>SUM(H5)+1</f>
        <v>46285</v>
      </c>
      <c r="C6" s="36">
        <f>SUM(B6)+1</f>
        <v>46286</v>
      </c>
      <c r="D6" s="36">
        <f t="shared" ref="D6:H6" si="3">SUM(C6)+1</f>
        <v>46287</v>
      </c>
      <c r="E6" s="36">
        <f t="shared" si="3"/>
        <v>46288</v>
      </c>
      <c r="F6" s="36">
        <f t="shared" si="3"/>
        <v>46289</v>
      </c>
      <c r="G6" s="36">
        <f t="shared" si="3"/>
        <v>46290</v>
      </c>
      <c r="H6" s="37">
        <f t="shared" si="3"/>
        <v>46291</v>
      </c>
      <c r="J6" s="20"/>
      <c r="K6" t="s">
        <v>26</v>
      </c>
    </row>
    <row r="7" spans="2:11" ht="19.5" thickBot="1">
      <c r="B7" s="54">
        <f>SUM(H6)+1</f>
        <v>46292</v>
      </c>
      <c r="C7" s="55">
        <f>SUM(B7)+1</f>
        <v>46293</v>
      </c>
      <c r="D7" s="55">
        <f t="shared" ref="D7:E7" si="4">SUM(C7)+1</f>
        <v>46294</v>
      </c>
      <c r="E7" s="55">
        <f t="shared" si="4"/>
        <v>46295</v>
      </c>
      <c r="F7" s="1"/>
      <c r="G7" s="1"/>
      <c r="H7" s="2"/>
      <c r="J7" s="92"/>
      <c r="K7" t="s">
        <v>105</v>
      </c>
    </row>
    <row r="8" spans="2:11">
      <c r="B8" s="21"/>
      <c r="C8" s="3"/>
      <c r="D8" s="3"/>
      <c r="E8" s="3"/>
      <c r="F8" s="90">
        <f>SUM(E7)+1</f>
        <v>46296</v>
      </c>
      <c r="G8" s="90">
        <f>SUM(F8)+1</f>
        <v>46297</v>
      </c>
      <c r="H8" s="91">
        <f>SUM(G8)+1</f>
        <v>46298</v>
      </c>
    </row>
    <row r="9" spans="2:11">
      <c r="B9" s="38">
        <f>SUM(H8)+1</f>
        <v>46299</v>
      </c>
      <c r="C9" s="36">
        <f>SUM(B9)+1</f>
        <v>46300</v>
      </c>
      <c r="D9" s="36">
        <f t="shared" ref="D9:H9" si="5">SUM(C9)+1</f>
        <v>46301</v>
      </c>
      <c r="E9" s="36">
        <f t="shared" si="5"/>
        <v>46302</v>
      </c>
      <c r="F9" s="36">
        <f t="shared" si="5"/>
        <v>46303</v>
      </c>
      <c r="G9" s="36">
        <f t="shared" si="5"/>
        <v>46304</v>
      </c>
      <c r="H9" s="37">
        <f t="shared" si="5"/>
        <v>46305</v>
      </c>
    </row>
    <row r="10" spans="2:11">
      <c r="B10" s="38">
        <f t="shared" ref="B10:B12" si="6">SUM(H9)+1</f>
        <v>46306</v>
      </c>
      <c r="C10" s="18">
        <f>SUM(B10)+1</f>
        <v>46307</v>
      </c>
      <c r="D10" s="19">
        <f t="shared" ref="D10:G10" si="7">SUM(C10)+1</f>
        <v>46308</v>
      </c>
      <c r="E10" s="19">
        <f t="shared" si="7"/>
        <v>46309</v>
      </c>
      <c r="F10" s="19">
        <f t="shared" si="7"/>
        <v>46310</v>
      </c>
      <c r="G10" s="19">
        <f t="shared" si="7"/>
        <v>46311</v>
      </c>
      <c r="H10" s="76">
        <f>SUM(G10)+1</f>
        <v>46312</v>
      </c>
    </row>
    <row r="11" spans="2:11">
      <c r="B11" s="40">
        <f t="shared" si="6"/>
        <v>46313</v>
      </c>
      <c r="C11" s="29">
        <f>SUM(B11)+1</f>
        <v>46314</v>
      </c>
      <c r="D11" s="10">
        <f t="shared" ref="D11:F11" si="8">SUM(C11)+1</f>
        <v>46315</v>
      </c>
      <c r="E11" s="10">
        <f t="shared" si="8"/>
        <v>46316</v>
      </c>
      <c r="F11" s="10">
        <f t="shared" si="8"/>
        <v>46317</v>
      </c>
      <c r="G11" s="10">
        <f t="shared" ref="G11" si="9">SUM(F11)+1</f>
        <v>46318</v>
      </c>
      <c r="H11" s="27">
        <f>SUM(G11)+1</f>
        <v>46319</v>
      </c>
    </row>
    <row r="12" spans="2:11" ht="19.5" thickBot="1">
      <c r="B12" s="28">
        <f t="shared" si="6"/>
        <v>46320</v>
      </c>
      <c r="C12" s="11">
        <f>SUM(B12)+1</f>
        <v>46321</v>
      </c>
      <c r="D12" s="11">
        <f t="shared" ref="D12:H12" si="10">SUM(C12)+1</f>
        <v>46322</v>
      </c>
      <c r="E12" s="11">
        <f t="shared" si="10"/>
        <v>46323</v>
      </c>
      <c r="F12" s="11">
        <f t="shared" si="10"/>
        <v>46324</v>
      </c>
      <c r="G12" s="11">
        <f t="shared" si="10"/>
        <v>46325</v>
      </c>
      <c r="H12" s="12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船迫　由雅</cp:lastModifiedBy>
  <dcterms:created xsi:type="dcterms:W3CDTF">2015-06-05T18:19:34Z</dcterms:created>
  <dcterms:modified xsi:type="dcterms:W3CDTF">2026-10-13T04:03:59Z</dcterms:modified>
</cp:coreProperties>
</file>