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7561CED6-177E-4081-807E-0F70A2ED43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32" i="1"/>
  <c r="F26" i="1"/>
  <c r="J3" i="1"/>
  <c r="K8" i="1" s="1"/>
  <c r="K4" i="1" l="1"/>
  <c r="K7" i="1"/>
  <c r="K6" i="1"/>
  <c r="K5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F41" i="1"/>
</calcChain>
</file>

<file path=xl/sharedStrings.xml><?xml version="1.0" encoding="utf-8"?>
<sst xmlns="http://schemas.openxmlformats.org/spreadsheetml/2006/main" count="169" uniqueCount="90">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</sst>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40" xfId="0" applyBorder="1" applyAlignment="1">
      <alignment horizontal="center" vertical="center"/>
    </xf>
    <xf numFmtId="0" fontId="0" fillId="0" borderId="40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6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4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3" fillId="0" borderId="28" xfId="0" applyFont="1" applyBorder="1" applyAlignment="1">
      <alignment horizont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tabSelected="1" workbookViewId="0">
      <selection activeCell="L8" sqref="L8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98" t="s">
        <v>13</v>
      </c>
      <c r="C2" s="99"/>
      <c r="D2" s="50" t="s">
        <v>9</v>
      </c>
      <c r="E2" s="5" t="s">
        <v>7</v>
      </c>
      <c r="F2" s="63" t="s">
        <v>8</v>
      </c>
      <c r="G2" s="12" t="s">
        <v>82</v>
      </c>
    </row>
    <row r="3" spans="2:19" ht="19.5" thickBot="1">
      <c r="B3" s="100" t="s">
        <v>0</v>
      </c>
      <c r="C3" s="101"/>
      <c r="D3" s="50" t="s">
        <v>12</v>
      </c>
      <c r="E3" s="47">
        <f>SUM(E4:E15)</f>
        <v>14</v>
      </c>
      <c r="F3" s="48">
        <f>SUM(F4:F15)</f>
        <v>12</v>
      </c>
      <c r="G3" s="50" t="s">
        <v>83</v>
      </c>
      <c r="I3" s="68" t="s">
        <v>77</v>
      </c>
      <c r="J3" s="72">
        <f ca="1">TODAY()</f>
        <v>46295</v>
      </c>
      <c r="K3" s="50" t="s">
        <v>86</v>
      </c>
    </row>
    <row r="4" spans="2:19">
      <c r="B4" s="104" t="s">
        <v>37</v>
      </c>
      <c r="C4" s="105"/>
      <c r="D4" s="11"/>
      <c r="E4" s="45"/>
      <c r="F4" s="45"/>
      <c r="G4" s="59" t="s">
        <v>87</v>
      </c>
      <c r="I4" s="73" t="s">
        <v>78</v>
      </c>
      <c r="J4" s="69">
        <v>46295</v>
      </c>
      <c r="K4" s="67" t="str">
        <f ca="1">SUM($J4-J3)&amp; "日"</f>
        <v>0日</v>
      </c>
    </row>
    <row r="5" spans="2:19">
      <c r="B5" s="106" t="s">
        <v>38</v>
      </c>
      <c r="C5" s="107"/>
      <c r="D5" s="8"/>
      <c r="E5" s="41">
        <v>2</v>
      </c>
      <c r="F5" s="41">
        <v>2</v>
      </c>
      <c r="G5" s="59" t="s">
        <v>87</v>
      </c>
      <c r="I5" s="74" t="s">
        <v>79</v>
      </c>
      <c r="J5" s="70">
        <v>46305</v>
      </c>
      <c r="K5" s="65" t="str">
        <f ca="1">SUM($J5-J3)&amp; "日"</f>
        <v>10日</v>
      </c>
    </row>
    <row r="6" spans="2:19">
      <c r="B6" s="106" t="s">
        <v>39</v>
      </c>
      <c r="C6" s="107"/>
      <c r="D6" s="8"/>
      <c r="E6" s="41">
        <v>1</v>
      </c>
      <c r="F6" s="41">
        <v>2</v>
      </c>
      <c r="G6" s="59" t="s">
        <v>87</v>
      </c>
      <c r="I6" s="75" t="s">
        <v>80</v>
      </c>
      <c r="J6" s="70">
        <v>46310</v>
      </c>
      <c r="K6" s="65" t="str">
        <f ca="1">SUM($J6-J3)&amp; "日"</f>
        <v>15日</v>
      </c>
    </row>
    <row r="7" spans="2:19">
      <c r="B7" s="106" t="s">
        <v>89</v>
      </c>
      <c r="C7" s="107"/>
      <c r="D7" s="8"/>
      <c r="E7" s="41">
        <v>1</v>
      </c>
      <c r="F7" s="45">
        <v>1</v>
      </c>
      <c r="G7" s="59" t="s">
        <v>87</v>
      </c>
      <c r="I7" s="76" t="s">
        <v>81</v>
      </c>
      <c r="J7" s="70">
        <v>46313</v>
      </c>
      <c r="K7" s="65" t="str">
        <f ca="1">SUM($J7-J3)&amp; "日"</f>
        <v>18日</v>
      </c>
    </row>
    <row r="8" spans="2:19" ht="19.5" thickBot="1">
      <c r="B8" s="90" t="s">
        <v>88</v>
      </c>
      <c r="C8" s="91"/>
      <c r="D8" s="8"/>
      <c r="E8" s="41">
        <v>2</v>
      </c>
      <c r="F8" s="45">
        <v>2</v>
      </c>
      <c r="G8" s="59" t="s">
        <v>87</v>
      </c>
      <c r="I8" s="77" t="s">
        <v>76</v>
      </c>
      <c r="J8" s="71">
        <v>46314</v>
      </c>
      <c r="K8" s="66" t="str">
        <f ca="1">SUM(J8-J3)&amp; "日"</f>
        <v>19日</v>
      </c>
    </row>
    <row r="9" spans="2:19">
      <c r="B9" s="90" t="s">
        <v>28</v>
      </c>
      <c r="C9" s="91"/>
      <c r="D9" s="10"/>
      <c r="E9" s="42">
        <v>2</v>
      </c>
      <c r="F9" s="42">
        <v>1</v>
      </c>
      <c r="G9" s="59" t="s">
        <v>87</v>
      </c>
    </row>
    <row r="10" spans="2:19">
      <c r="B10" s="90" t="s">
        <v>40</v>
      </c>
      <c r="C10" s="91"/>
      <c r="D10" s="10"/>
      <c r="E10" s="42">
        <v>2</v>
      </c>
      <c r="F10" s="42"/>
      <c r="G10" s="58" t="s">
        <v>83</v>
      </c>
    </row>
    <row r="11" spans="2:19">
      <c r="B11" s="94" t="s">
        <v>84</v>
      </c>
      <c r="C11" s="95"/>
      <c r="D11" s="8"/>
      <c r="E11" s="41">
        <v>1</v>
      </c>
      <c r="F11" s="41">
        <v>1</v>
      </c>
      <c r="G11" s="58" t="s">
        <v>87</v>
      </c>
    </row>
    <row r="12" spans="2:19">
      <c r="B12" s="90" t="s">
        <v>41</v>
      </c>
      <c r="C12" s="91"/>
      <c r="D12" s="8"/>
      <c r="E12" s="41"/>
      <c r="F12" s="42"/>
      <c r="G12" s="58" t="s">
        <v>87</v>
      </c>
    </row>
    <row r="13" spans="2:19">
      <c r="B13" s="92" t="s">
        <v>42</v>
      </c>
      <c r="C13" s="93"/>
      <c r="D13" s="8"/>
      <c r="E13" s="41">
        <v>1</v>
      </c>
      <c r="F13" s="41">
        <v>1</v>
      </c>
      <c r="G13" s="58" t="s">
        <v>87</v>
      </c>
    </row>
    <row r="14" spans="2:19">
      <c r="B14" s="106" t="s">
        <v>43</v>
      </c>
      <c r="C14" s="107"/>
      <c r="D14" s="8"/>
      <c r="E14" s="41">
        <v>1</v>
      </c>
      <c r="F14" s="41">
        <v>1</v>
      </c>
      <c r="G14" s="58" t="s">
        <v>87</v>
      </c>
      <c r="R14" s="85"/>
      <c r="S14" s="86"/>
    </row>
    <row r="15" spans="2:19" ht="19.5" thickBot="1">
      <c r="B15" s="112" t="s">
        <v>44</v>
      </c>
      <c r="C15" s="113"/>
      <c r="D15" s="10"/>
      <c r="E15" s="42">
        <v>1</v>
      </c>
      <c r="F15" s="42">
        <v>1</v>
      </c>
      <c r="G15" s="58" t="s">
        <v>87</v>
      </c>
    </row>
    <row r="16" spans="2:19">
      <c r="B16" s="102" t="s">
        <v>1</v>
      </c>
      <c r="C16" s="103"/>
      <c r="D16" s="7" t="s">
        <v>11</v>
      </c>
      <c r="E16" s="83">
        <f>SUM(E17:E25)</f>
        <v>16</v>
      </c>
      <c r="F16" s="44">
        <v>8</v>
      </c>
      <c r="G16" s="64" t="s">
        <v>83</v>
      </c>
    </row>
    <row r="17" spans="2:7">
      <c r="B17" s="90" t="s">
        <v>45</v>
      </c>
      <c r="C17" s="91"/>
      <c r="D17" s="8"/>
      <c r="E17" s="81">
        <v>3</v>
      </c>
      <c r="F17" s="41">
        <v>1</v>
      </c>
      <c r="G17" s="58" t="s">
        <v>87</v>
      </c>
    </row>
    <row r="18" spans="2:7">
      <c r="B18" s="90" t="s">
        <v>46</v>
      </c>
      <c r="C18" s="91"/>
      <c r="D18" s="8"/>
      <c r="E18" s="81">
        <v>3</v>
      </c>
      <c r="F18" s="41">
        <v>1</v>
      </c>
      <c r="G18" s="58" t="s">
        <v>87</v>
      </c>
    </row>
    <row r="19" spans="2:7">
      <c r="B19" s="90" t="s">
        <v>47</v>
      </c>
      <c r="C19" s="91"/>
      <c r="D19" s="8"/>
      <c r="E19" s="81">
        <v>3</v>
      </c>
      <c r="F19" s="41">
        <v>1</v>
      </c>
      <c r="G19" s="58" t="s">
        <v>87</v>
      </c>
    </row>
    <row r="20" spans="2:7">
      <c r="B20" s="90" t="s">
        <v>48</v>
      </c>
      <c r="C20" s="91"/>
      <c r="D20" s="10"/>
      <c r="E20" s="81">
        <v>3</v>
      </c>
      <c r="F20" s="41">
        <v>1</v>
      </c>
      <c r="G20" s="58" t="s">
        <v>87</v>
      </c>
    </row>
    <row r="21" spans="2:7">
      <c r="B21" s="90" t="s">
        <v>49</v>
      </c>
      <c r="C21" s="91"/>
      <c r="D21" s="8"/>
      <c r="E21" s="82">
        <v>1</v>
      </c>
      <c r="F21" s="41">
        <v>1</v>
      </c>
      <c r="G21" s="58" t="s">
        <v>87</v>
      </c>
    </row>
    <row r="22" spans="2:7">
      <c r="B22" s="94" t="s">
        <v>41</v>
      </c>
      <c r="C22" s="95"/>
      <c r="D22" s="8"/>
      <c r="E22" s="81"/>
      <c r="F22" s="41">
        <v>3</v>
      </c>
      <c r="G22" s="58" t="s">
        <v>87</v>
      </c>
    </row>
    <row r="23" spans="2:7">
      <c r="B23" s="92" t="s">
        <v>42</v>
      </c>
      <c r="C23" s="93"/>
      <c r="D23" s="8"/>
      <c r="E23" s="81">
        <v>1</v>
      </c>
      <c r="F23" s="41">
        <v>1</v>
      </c>
      <c r="G23" s="58" t="s">
        <v>87</v>
      </c>
    </row>
    <row r="24" spans="2:7">
      <c r="B24" s="92" t="s">
        <v>43</v>
      </c>
      <c r="C24" s="93"/>
      <c r="D24" s="8"/>
      <c r="E24" s="81">
        <v>1</v>
      </c>
      <c r="F24" s="41">
        <v>1</v>
      </c>
      <c r="G24" s="58" t="s">
        <v>87</v>
      </c>
    </row>
    <row r="25" spans="2:7" ht="19.5" thickBot="1">
      <c r="B25" s="114" t="s">
        <v>50</v>
      </c>
      <c r="C25" s="115"/>
      <c r="D25" s="9"/>
      <c r="E25" s="84">
        <v>1</v>
      </c>
      <c r="F25" s="43">
        <v>1</v>
      </c>
      <c r="G25" s="58" t="s">
        <v>87</v>
      </c>
    </row>
    <row r="26" spans="2:7">
      <c r="B26" s="96" t="s">
        <v>2</v>
      </c>
      <c r="C26" s="97"/>
      <c r="D26" s="53" t="s">
        <v>10</v>
      </c>
      <c r="E26" s="54">
        <f>SUM(E27:E31)</f>
        <v>12</v>
      </c>
      <c r="F26" s="54">
        <f>SUM(F27,F28,F31)</f>
        <v>8</v>
      </c>
      <c r="G26" s="64" t="s">
        <v>83</v>
      </c>
    </row>
    <row r="27" spans="2:7">
      <c r="B27" s="94" t="s">
        <v>51</v>
      </c>
      <c r="C27" s="95"/>
      <c r="D27" s="8"/>
      <c r="E27" s="41">
        <v>5</v>
      </c>
      <c r="F27" s="41">
        <v>5</v>
      </c>
      <c r="G27" s="58" t="s">
        <v>87</v>
      </c>
    </row>
    <row r="28" spans="2:7">
      <c r="B28" s="94" t="s">
        <v>52</v>
      </c>
      <c r="C28" s="95"/>
      <c r="D28" s="8"/>
      <c r="E28" s="41"/>
      <c r="F28" s="41"/>
      <c r="G28" s="58" t="s">
        <v>83</v>
      </c>
    </row>
    <row r="29" spans="2:7">
      <c r="B29" s="92" t="s">
        <v>53</v>
      </c>
      <c r="C29" s="93"/>
      <c r="D29" s="8"/>
      <c r="E29" s="41">
        <v>2</v>
      </c>
      <c r="F29" s="41"/>
      <c r="G29" s="58" t="s">
        <v>83</v>
      </c>
    </row>
    <row r="30" spans="2:7">
      <c r="B30" s="92" t="s">
        <v>54</v>
      </c>
      <c r="C30" s="93"/>
      <c r="D30" s="8"/>
      <c r="E30" s="41">
        <v>2</v>
      </c>
      <c r="F30" s="41"/>
      <c r="G30" s="58" t="s">
        <v>83</v>
      </c>
    </row>
    <row r="31" spans="2:7" ht="19.5" thickBot="1">
      <c r="B31" s="110" t="s">
        <v>55</v>
      </c>
      <c r="C31" s="111"/>
      <c r="D31" s="9"/>
      <c r="E31" s="43">
        <v>3</v>
      </c>
      <c r="F31" s="43">
        <v>3</v>
      </c>
      <c r="G31" s="60" t="s">
        <v>87</v>
      </c>
    </row>
    <row r="32" spans="2:7" ht="19.5" thickBot="1">
      <c r="B32" s="102" t="s">
        <v>60</v>
      </c>
      <c r="C32" s="103"/>
      <c r="D32" s="7" t="s">
        <v>14</v>
      </c>
      <c r="E32" s="80">
        <f>SUM(E33:E40)</f>
        <v>11</v>
      </c>
      <c r="F32" s="44">
        <f>SUM(F34,F36,F37,F39,F40)</f>
        <v>5</v>
      </c>
      <c r="G32" s="64" t="s">
        <v>87</v>
      </c>
    </row>
    <row r="33" spans="2:7" ht="19.5" thickBot="1">
      <c r="B33" s="90" t="s">
        <v>59</v>
      </c>
      <c r="C33" s="91"/>
      <c r="D33" s="11"/>
      <c r="E33" s="49"/>
      <c r="F33" s="45"/>
      <c r="G33" s="64" t="s">
        <v>87</v>
      </c>
    </row>
    <row r="34" spans="2:7" ht="19.5" thickBot="1">
      <c r="B34" s="106" t="s">
        <v>56</v>
      </c>
      <c r="C34" s="107"/>
      <c r="D34" s="11"/>
      <c r="E34" s="49">
        <v>2</v>
      </c>
      <c r="F34" s="45">
        <v>1</v>
      </c>
      <c r="G34" s="64" t="s">
        <v>87</v>
      </c>
    </row>
    <row r="35" spans="2:7" ht="19.5" thickBot="1">
      <c r="B35" s="116" t="s">
        <v>4</v>
      </c>
      <c r="C35" s="117"/>
      <c r="D35" s="8"/>
      <c r="E35" s="40"/>
      <c r="F35" s="41"/>
      <c r="G35" s="64" t="s">
        <v>87</v>
      </c>
    </row>
    <row r="36" spans="2:7" ht="19.5" thickBot="1">
      <c r="B36" s="90" t="s">
        <v>57</v>
      </c>
      <c r="C36" s="91"/>
      <c r="D36" s="8"/>
      <c r="E36" s="40">
        <v>2</v>
      </c>
      <c r="F36" s="41">
        <v>1</v>
      </c>
      <c r="G36" s="64" t="s">
        <v>87</v>
      </c>
    </row>
    <row r="37" spans="2:7" ht="19.5" thickBot="1">
      <c r="B37" s="90" t="s">
        <v>58</v>
      </c>
      <c r="C37" s="91"/>
      <c r="D37" s="8"/>
      <c r="E37" s="40">
        <v>2</v>
      </c>
      <c r="F37" s="41">
        <v>1</v>
      </c>
      <c r="G37" s="64" t="s">
        <v>87</v>
      </c>
    </row>
    <row r="38" spans="2:7" ht="19.5" thickBot="1">
      <c r="B38" s="116" t="s">
        <v>5</v>
      </c>
      <c r="C38" s="117"/>
      <c r="D38" s="8"/>
      <c r="E38" s="40"/>
      <c r="F38" s="41"/>
      <c r="G38" s="64" t="s">
        <v>87</v>
      </c>
    </row>
    <row r="39" spans="2:7" ht="19.5" thickBot="1">
      <c r="B39" s="118" t="s">
        <v>61</v>
      </c>
      <c r="C39" s="119"/>
      <c r="D39" s="8"/>
      <c r="E39" s="40">
        <v>2</v>
      </c>
      <c r="F39" s="41">
        <v>1</v>
      </c>
      <c r="G39" s="64" t="s">
        <v>87</v>
      </c>
    </row>
    <row r="40" spans="2:7" ht="19.5" thickBot="1">
      <c r="B40" s="110" t="s">
        <v>62</v>
      </c>
      <c r="C40" s="111"/>
      <c r="D40" s="9"/>
      <c r="E40" s="46">
        <v>3</v>
      </c>
      <c r="F40" s="43">
        <v>1</v>
      </c>
      <c r="G40" s="64" t="s">
        <v>87</v>
      </c>
    </row>
    <row r="41" spans="2:7" ht="19.5" thickBot="1">
      <c r="B41" s="108" t="s">
        <v>85</v>
      </c>
      <c r="C41" s="109"/>
      <c r="D41" s="51"/>
      <c r="E41" s="78">
        <f>SUM(E3+E16+E26+F32)</f>
        <v>47</v>
      </c>
      <c r="F41" s="79">
        <f>SUM(F4:F40)</f>
        <v>57</v>
      </c>
      <c r="G41" s="51"/>
    </row>
  </sheetData>
  <mergeCells count="40"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F9" sqref="F9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98" t="s">
        <v>63</v>
      </c>
      <c r="C2" s="99"/>
      <c r="D2" s="50" t="s">
        <v>9</v>
      </c>
      <c r="E2" s="5" t="s">
        <v>7</v>
      </c>
      <c r="F2" s="6" t="s">
        <v>8</v>
      </c>
    </row>
    <row r="3" spans="2:6" ht="19.5" thickBot="1">
      <c r="B3" s="100" t="s">
        <v>0</v>
      </c>
      <c r="C3" s="101"/>
      <c r="D3" s="50" t="s">
        <v>12</v>
      </c>
      <c r="E3" s="47"/>
      <c r="F3" s="12"/>
    </row>
    <row r="4" spans="2:6">
      <c r="B4" s="120" t="s">
        <v>65</v>
      </c>
      <c r="C4" s="121"/>
      <c r="D4" s="7"/>
      <c r="E4" s="44">
        <v>2</v>
      </c>
      <c r="F4" s="44"/>
    </row>
    <row r="5" spans="2:6" ht="19.5" thickBot="1">
      <c r="B5" s="106" t="s">
        <v>69</v>
      </c>
      <c r="C5" s="107"/>
      <c r="D5" s="8"/>
      <c r="E5" s="41">
        <v>2</v>
      </c>
      <c r="F5" s="41"/>
    </row>
    <row r="6" spans="2:6">
      <c r="B6" s="102" t="s">
        <v>1</v>
      </c>
      <c r="C6" s="103"/>
      <c r="D6" s="7" t="s">
        <v>11</v>
      </c>
      <c r="E6" s="44"/>
      <c r="F6" s="44"/>
    </row>
    <row r="7" spans="2:6">
      <c r="B7" s="106" t="s">
        <v>65</v>
      </c>
      <c r="C7" s="107"/>
      <c r="D7" s="8"/>
      <c r="E7" s="41">
        <v>2</v>
      </c>
      <c r="F7" s="41">
        <v>2</v>
      </c>
    </row>
    <row r="8" spans="2:6">
      <c r="B8" s="106" t="s">
        <v>66</v>
      </c>
      <c r="C8" s="107"/>
      <c r="D8" s="8"/>
      <c r="E8" s="41">
        <v>3</v>
      </c>
      <c r="F8" s="41">
        <v>2</v>
      </c>
    </row>
    <row r="9" spans="2:6" ht="19.5" thickBot="1">
      <c r="B9" s="106" t="s">
        <v>70</v>
      </c>
      <c r="C9" s="107"/>
      <c r="D9" s="8"/>
      <c r="E9" s="41">
        <v>2</v>
      </c>
      <c r="F9" s="41"/>
    </row>
    <row r="10" spans="2:6">
      <c r="B10" s="96" t="s">
        <v>2</v>
      </c>
      <c r="C10" s="97"/>
      <c r="D10" s="53" t="s">
        <v>10</v>
      </c>
      <c r="E10" s="54"/>
      <c r="F10" s="54"/>
    </row>
    <row r="11" spans="2:6">
      <c r="B11" s="92" t="s">
        <v>71</v>
      </c>
      <c r="C11" s="93"/>
      <c r="D11" s="8"/>
      <c r="E11" s="41">
        <v>5</v>
      </c>
      <c r="F11" s="41"/>
    </row>
    <row r="12" spans="2:6">
      <c r="B12" s="92" t="s">
        <v>72</v>
      </c>
      <c r="C12" s="93"/>
      <c r="D12" s="8"/>
      <c r="E12" s="41">
        <v>1</v>
      </c>
      <c r="F12" s="41"/>
    </row>
    <row r="13" spans="2:6">
      <c r="B13" s="92" t="s">
        <v>69</v>
      </c>
      <c r="C13" s="93"/>
      <c r="D13" s="8"/>
      <c r="E13" s="41">
        <v>2</v>
      </c>
      <c r="F13" s="41"/>
    </row>
    <row r="14" spans="2:6">
      <c r="B14" s="122" t="s">
        <v>60</v>
      </c>
      <c r="C14" s="123"/>
      <c r="D14" s="11" t="s">
        <v>14</v>
      </c>
      <c r="E14" s="49"/>
      <c r="F14" s="45"/>
    </row>
    <row r="15" spans="2:6">
      <c r="B15" s="106" t="s">
        <v>64</v>
      </c>
      <c r="C15" s="107"/>
      <c r="D15" s="11"/>
      <c r="E15" s="49">
        <v>5</v>
      </c>
      <c r="F15" s="45"/>
    </row>
    <row r="16" spans="2:6">
      <c r="B16" s="116" t="s">
        <v>4</v>
      </c>
      <c r="C16" s="117"/>
      <c r="D16" s="8"/>
      <c r="E16" s="40"/>
      <c r="F16" s="41"/>
    </row>
    <row r="17" spans="2:6">
      <c r="B17" s="106" t="s">
        <v>67</v>
      </c>
      <c r="C17" s="107"/>
      <c r="D17" s="8"/>
      <c r="E17" s="40">
        <v>2</v>
      </c>
      <c r="F17" s="41"/>
    </row>
    <row r="18" spans="2:6">
      <c r="B18" s="116" t="s">
        <v>5</v>
      </c>
      <c r="C18" s="117"/>
      <c r="D18" s="8"/>
      <c r="E18" s="40"/>
      <c r="F18" s="41"/>
    </row>
    <row r="19" spans="2:6" ht="19.5" thickBot="1">
      <c r="B19" s="124" t="s">
        <v>67</v>
      </c>
      <c r="C19" s="125"/>
      <c r="D19" s="8"/>
      <c r="E19" s="40">
        <v>2</v>
      </c>
      <c r="F19" s="41"/>
    </row>
    <row r="20" spans="2:6" ht="19.5" thickBot="1">
      <c r="B20" s="126" t="s">
        <v>34</v>
      </c>
      <c r="C20" s="127"/>
      <c r="D20" s="12"/>
      <c r="E20" s="47"/>
      <c r="F20" s="48"/>
    </row>
  </sheetData>
  <mergeCells count="19">
    <mergeCell ref="B19:C19"/>
    <mergeCell ref="B20:C20"/>
    <mergeCell ref="B15:C15"/>
    <mergeCell ref="B16:C16"/>
    <mergeCell ref="B17:C17"/>
    <mergeCell ref="B18:C18"/>
    <mergeCell ref="B11:C11"/>
    <mergeCell ref="B12:C12"/>
    <mergeCell ref="B13:C13"/>
    <mergeCell ref="B14:C14"/>
    <mergeCell ref="B10:C10"/>
    <mergeCell ref="B6:C6"/>
    <mergeCell ref="B7:C7"/>
    <mergeCell ref="B8:C8"/>
    <mergeCell ref="B9:C9"/>
    <mergeCell ref="B2:C2"/>
    <mergeCell ref="B3:C3"/>
    <mergeCell ref="B4:C4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98" t="s">
        <v>73</v>
      </c>
      <c r="C2" s="99"/>
      <c r="D2" s="50" t="s">
        <v>9</v>
      </c>
      <c r="E2" s="5" t="s">
        <v>7</v>
      </c>
      <c r="F2" s="6" t="s">
        <v>8</v>
      </c>
    </row>
    <row r="3" spans="2:6" ht="19.5" thickBot="1">
      <c r="B3" s="100" t="s">
        <v>0</v>
      </c>
      <c r="C3" s="101"/>
      <c r="D3" s="50" t="s">
        <v>12</v>
      </c>
      <c r="E3" s="47"/>
      <c r="F3" s="12"/>
    </row>
    <row r="4" spans="2:6" ht="19.5" thickBot="1">
      <c r="B4" s="120" t="s">
        <v>74</v>
      </c>
      <c r="C4" s="121"/>
      <c r="D4" s="7"/>
      <c r="E4" s="44">
        <v>3</v>
      </c>
      <c r="F4" s="44"/>
    </row>
    <row r="5" spans="2:6">
      <c r="B5" s="102" t="s">
        <v>1</v>
      </c>
      <c r="C5" s="103"/>
      <c r="D5" s="7" t="s">
        <v>11</v>
      </c>
      <c r="E5" s="44"/>
      <c r="F5" s="44"/>
    </row>
    <row r="6" spans="2:6" ht="19.5" thickBot="1">
      <c r="B6" s="106" t="s">
        <v>75</v>
      </c>
      <c r="C6" s="107"/>
      <c r="D6" s="8"/>
      <c r="E6" s="41">
        <v>3</v>
      </c>
      <c r="F6" s="41"/>
    </row>
    <row r="7" spans="2:6">
      <c r="B7" s="96" t="s">
        <v>2</v>
      </c>
      <c r="C7" s="97"/>
      <c r="D7" s="53" t="s">
        <v>10</v>
      </c>
      <c r="E7" s="54"/>
      <c r="F7" s="54"/>
    </row>
    <row r="8" spans="2:6">
      <c r="B8" s="92" t="s">
        <v>74</v>
      </c>
      <c r="C8" s="93"/>
      <c r="D8" s="8"/>
      <c r="E8" s="41">
        <v>3</v>
      </c>
      <c r="F8" s="41"/>
    </row>
    <row r="9" spans="2:6" ht="19.5" thickBot="1">
      <c r="B9" s="106" t="s">
        <v>68</v>
      </c>
      <c r="C9" s="107"/>
      <c r="D9" s="8"/>
      <c r="E9" s="41">
        <v>2</v>
      </c>
      <c r="F9" s="41"/>
    </row>
    <row r="10" spans="2:6">
      <c r="B10" s="102" t="s">
        <v>60</v>
      </c>
      <c r="C10" s="103"/>
      <c r="D10" s="7" t="s">
        <v>14</v>
      </c>
      <c r="E10" s="44"/>
      <c r="F10" s="44"/>
    </row>
    <row r="11" spans="2:6">
      <c r="B11" s="106" t="s">
        <v>74</v>
      </c>
      <c r="C11" s="107"/>
      <c r="D11" s="11"/>
      <c r="E11" s="45">
        <v>2</v>
      </c>
      <c r="F11" s="45"/>
    </row>
    <row r="12" spans="2:6">
      <c r="B12" s="116" t="s">
        <v>4</v>
      </c>
      <c r="C12" s="117"/>
      <c r="D12" s="8"/>
      <c r="E12" s="41"/>
      <c r="F12" s="41"/>
    </row>
    <row r="13" spans="2:6">
      <c r="B13" s="106" t="s">
        <v>68</v>
      </c>
      <c r="C13" s="107"/>
      <c r="D13" s="8"/>
      <c r="E13" s="41">
        <v>1</v>
      </c>
      <c r="F13" s="41"/>
    </row>
    <row r="14" spans="2:6">
      <c r="B14" s="106" t="s">
        <v>74</v>
      </c>
      <c r="C14" s="107"/>
      <c r="D14" s="8"/>
      <c r="E14" s="41">
        <v>1</v>
      </c>
      <c r="F14" s="41"/>
    </row>
    <row r="15" spans="2:6">
      <c r="B15" s="116" t="s">
        <v>5</v>
      </c>
      <c r="C15" s="117"/>
      <c r="D15" s="8"/>
      <c r="E15" s="41"/>
      <c r="F15" s="41"/>
    </row>
    <row r="16" spans="2:6">
      <c r="B16" s="92" t="s">
        <v>68</v>
      </c>
      <c r="C16" s="93"/>
      <c r="D16" s="8"/>
      <c r="E16" s="41">
        <v>1</v>
      </c>
      <c r="F16" s="41"/>
    </row>
    <row r="17" spans="2:6">
      <c r="B17" s="92" t="s">
        <v>74</v>
      </c>
      <c r="C17" s="93"/>
      <c r="D17" s="8"/>
      <c r="E17" s="41">
        <v>1</v>
      </c>
      <c r="F17" s="41"/>
    </row>
    <row r="18" spans="2:6" ht="19.5" thickBot="1">
      <c r="B18" s="108" t="s">
        <v>34</v>
      </c>
      <c r="C18" s="109"/>
      <c r="D18" s="51"/>
      <c r="E18" s="52"/>
      <c r="F18" s="52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C15" sqref="C15"/>
    </sheetView>
  </sheetViews>
  <sheetFormatPr defaultRowHeight="18.75"/>
  <sheetData>
    <row r="1" spans="2:11" ht="36" thickBot="1">
      <c r="C1" s="89" t="s">
        <v>22</v>
      </c>
      <c r="D1" s="89"/>
      <c r="E1" s="89"/>
      <c r="F1" s="89"/>
      <c r="G1" s="89"/>
    </row>
    <row r="2" spans="2:11" ht="19.5" thickBot="1">
      <c r="B2" s="31" t="s">
        <v>15</v>
      </c>
      <c r="C2" s="32" t="s">
        <v>16</v>
      </c>
      <c r="D2" s="32" t="s">
        <v>17</v>
      </c>
      <c r="E2" s="32" t="s">
        <v>18</v>
      </c>
      <c r="F2" s="32" t="s">
        <v>19</v>
      </c>
      <c r="G2" s="32" t="s">
        <v>20</v>
      </c>
      <c r="H2" s="33" t="s">
        <v>21</v>
      </c>
      <c r="J2" t="s">
        <v>36</v>
      </c>
    </row>
    <row r="3" spans="2:11">
      <c r="B3" s="28"/>
      <c r="D3" s="29">
        <v>46266</v>
      </c>
      <c r="E3" s="29">
        <f>SUM(D3)+1</f>
        <v>46267</v>
      </c>
      <c r="F3" s="29">
        <f t="shared" ref="F3:H3" si="0">SUM(E3)+1</f>
        <v>46268</v>
      </c>
      <c r="G3" s="29">
        <f t="shared" si="0"/>
        <v>46269</v>
      </c>
      <c r="H3" s="30">
        <f t="shared" si="0"/>
        <v>46270</v>
      </c>
      <c r="J3" s="16"/>
      <c r="K3" t="s">
        <v>23</v>
      </c>
    </row>
    <row r="4" spans="2:11">
      <c r="B4" s="20">
        <f>SUM(H3)+1</f>
        <v>46271</v>
      </c>
      <c r="C4" s="19">
        <f>SUM(B4)+1</f>
        <v>46272</v>
      </c>
      <c r="D4" s="19">
        <f t="shared" ref="D4:H4" si="1">SUM(C4)+1</f>
        <v>46273</v>
      </c>
      <c r="E4" s="55">
        <f t="shared" si="1"/>
        <v>46274</v>
      </c>
      <c r="F4" s="55">
        <f t="shared" si="1"/>
        <v>46275</v>
      </c>
      <c r="G4" s="55">
        <f t="shared" si="1"/>
        <v>46276</v>
      </c>
      <c r="H4" s="56">
        <f t="shared" si="1"/>
        <v>46277</v>
      </c>
      <c r="J4" s="17"/>
      <c r="K4" t="s">
        <v>24</v>
      </c>
    </row>
    <row r="5" spans="2:11">
      <c r="B5" s="57">
        <f>SUM(H4)+1</f>
        <v>46278</v>
      </c>
      <c r="C5" s="55">
        <f>SUM(B5)+1</f>
        <v>46279</v>
      </c>
      <c r="D5" s="55">
        <f t="shared" ref="D5:H5" si="2">SUM(C5)+1</f>
        <v>46280</v>
      </c>
      <c r="E5" s="55">
        <f t="shared" si="2"/>
        <v>46281</v>
      </c>
      <c r="F5" s="55">
        <f t="shared" si="2"/>
        <v>46282</v>
      </c>
      <c r="G5" s="55">
        <f t="shared" si="2"/>
        <v>46283</v>
      </c>
      <c r="H5" s="56">
        <f t="shared" si="2"/>
        <v>46284</v>
      </c>
      <c r="J5" s="18"/>
      <c r="K5" t="s">
        <v>25</v>
      </c>
    </row>
    <row r="6" spans="2:11">
      <c r="B6" s="57">
        <f>SUM(H5)+1</f>
        <v>46285</v>
      </c>
      <c r="C6" s="55">
        <f>SUM(B6)+1</f>
        <v>46286</v>
      </c>
      <c r="D6" s="55">
        <f t="shared" ref="D6:H6" si="3">SUM(C6)+1</f>
        <v>46287</v>
      </c>
      <c r="E6" s="55">
        <f t="shared" si="3"/>
        <v>46288</v>
      </c>
      <c r="F6" s="55">
        <f t="shared" si="3"/>
        <v>46289</v>
      </c>
      <c r="G6" s="55">
        <f t="shared" si="3"/>
        <v>46290</v>
      </c>
      <c r="H6" s="56">
        <f t="shared" si="3"/>
        <v>46291</v>
      </c>
      <c r="J6" s="26"/>
      <c r="K6" t="s">
        <v>26</v>
      </c>
    </row>
    <row r="7" spans="2:11" ht="19.5" thickBot="1">
      <c r="B7" s="87">
        <f>SUM(H6)+1</f>
        <v>46292</v>
      </c>
      <c r="C7" s="88">
        <f>SUM(B7)+1</f>
        <v>46293</v>
      </c>
      <c r="D7" s="88">
        <f t="shared" ref="D7:E7" si="4">SUM(C7)+1</f>
        <v>46294</v>
      </c>
      <c r="E7" s="36">
        <f t="shared" si="4"/>
        <v>46295</v>
      </c>
      <c r="F7" s="1"/>
      <c r="G7" s="1"/>
      <c r="H7" s="2"/>
    </row>
    <row r="8" spans="2:11">
      <c r="B8" s="28"/>
      <c r="C8" s="3"/>
      <c r="D8" s="3"/>
      <c r="E8" s="3"/>
      <c r="F8" s="34">
        <f>SUM(E7)+1</f>
        <v>46296</v>
      </c>
      <c r="G8" s="34">
        <f>SUM(F8)+1</f>
        <v>46297</v>
      </c>
      <c r="H8" s="35">
        <f>SUM(G8)+1</f>
        <v>46298</v>
      </c>
    </row>
    <row r="9" spans="2:11">
      <c r="B9" s="21">
        <f>SUM(H8)+1</f>
        <v>46299</v>
      </c>
      <c r="C9" s="22">
        <f>SUM(B9)+1</f>
        <v>46300</v>
      </c>
      <c r="D9" s="22">
        <f t="shared" ref="D9:H9" si="5">SUM(C9)+1</f>
        <v>46301</v>
      </c>
      <c r="E9" s="22">
        <f t="shared" si="5"/>
        <v>46302</v>
      </c>
      <c r="F9" s="22">
        <f t="shared" si="5"/>
        <v>46303</v>
      </c>
      <c r="G9" s="22">
        <f t="shared" si="5"/>
        <v>46304</v>
      </c>
      <c r="H9" s="23">
        <f t="shared" si="5"/>
        <v>46305</v>
      </c>
    </row>
    <row r="10" spans="2:11">
      <c r="B10" s="25">
        <f t="shared" ref="B10:B12" si="6">SUM(H9)+1</f>
        <v>46306</v>
      </c>
      <c r="C10" s="24">
        <f>SUM(B10)+1</f>
        <v>46307</v>
      </c>
      <c r="D10" s="24">
        <f t="shared" ref="D10:G10" si="7">SUM(C10)+1</f>
        <v>46308</v>
      </c>
      <c r="E10" s="24">
        <f t="shared" si="7"/>
        <v>46309</v>
      </c>
      <c r="F10" s="24">
        <f t="shared" si="7"/>
        <v>46310</v>
      </c>
      <c r="G10" s="27">
        <f t="shared" si="7"/>
        <v>46311</v>
      </c>
      <c r="H10" s="62">
        <f>SUM(G10)+1</f>
        <v>46312</v>
      </c>
    </row>
    <row r="11" spans="2:11">
      <c r="B11" s="61">
        <f t="shared" si="6"/>
        <v>46313</v>
      </c>
      <c r="C11" s="39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37">
        <f>SUM(G11)+1</f>
        <v>46319</v>
      </c>
    </row>
    <row r="12" spans="2:11" ht="19.5" thickBot="1">
      <c r="B12" s="38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2026-09-30T08:59:44Z</dcterms:modified>
</cp:coreProperties>
</file>