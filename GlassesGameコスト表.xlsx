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in\OneDrive\Documents\GitHub\GlassesGame\"/>
    </mc:Choice>
  </mc:AlternateContent>
  <xr:revisionPtr revIDLastSave="0" documentId="13_ncr:1_{F1EFB2AE-1B46-46B8-8296-C41CD8623BC9}" xr6:coauthVersionLast="47" xr6:coauthVersionMax="47" xr10:uidLastSave="{00000000-0000-0000-0000-000000000000}"/>
  <bookViews>
    <workbookView xWindow="-108" yWindow="-108" windowWidth="23256" windowHeight="12456" tabRatio="599" activeTab="1" xr2:uid="{00000000-000D-0000-FFFF-FFFF00000000}"/>
  </bookViews>
  <sheets>
    <sheet name="プロト" sheetId="1" r:id="rId1"/>
    <sheet name="アルファ" sheetId="5" r:id="rId2"/>
    <sheet name="ベータ・マスター" sheetId="6" r:id="rId3"/>
    <sheet name="スケジュール" sheetId="3" r:id="rId4"/>
    <sheet name="素材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5" l="1"/>
  <c r="F20" i="5"/>
  <c r="F3" i="5"/>
  <c r="F7" i="5"/>
  <c r="J11" i="1"/>
  <c r="J10" i="1"/>
  <c r="J8" i="1"/>
  <c r="J9" i="1"/>
  <c r="E33" i="5"/>
  <c r="E28" i="5" s="1"/>
  <c r="E7" i="5"/>
  <c r="E3" i="5" s="1"/>
  <c r="E25" i="5"/>
  <c r="J13" i="5" s="1"/>
  <c r="E32" i="1"/>
  <c r="F12" i="1"/>
  <c r="E4" i="1"/>
  <c r="E12" i="1"/>
  <c r="F4" i="1"/>
  <c r="F32" i="1"/>
  <c r="F28" i="1"/>
  <c r="F26" i="1" s="1"/>
  <c r="E28" i="1"/>
  <c r="E17" i="6"/>
  <c r="E14" i="6"/>
  <c r="E12" i="6"/>
  <c r="F17" i="6"/>
  <c r="F14" i="6"/>
  <c r="F9" i="6"/>
  <c r="F7" i="6" s="1"/>
  <c r="F6" i="6" s="1"/>
  <c r="F4" i="6" s="1"/>
  <c r="F3" i="6" s="1"/>
  <c r="E9" i="6"/>
  <c r="E6" i="6"/>
  <c r="E3" i="6"/>
  <c r="K3" i="6"/>
  <c r="L6" i="6" s="1"/>
  <c r="J2" i="5"/>
  <c r="K3" i="5" s="1"/>
  <c r="F25" i="5"/>
  <c r="E20" i="5"/>
  <c r="J12" i="5" s="1"/>
  <c r="E13" i="5"/>
  <c r="J11" i="5" s="1"/>
  <c r="F13" i="5"/>
  <c r="J3" i="1"/>
  <c r="K5" i="1" s="1"/>
  <c r="J14" i="5" l="1"/>
  <c r="J12" i="1"/>
  <c r="F3" i="1"/>
  <c r="E44" i="5"/>
  <c r="F44" i="5"/>
  <c r="E20" i="6"/>
  <c r="F43" i="1"/>
  <c r="K4" i="5"/>
  <c r="F12" i="6"/>
  <c r="F20" i="6" s="1"/>
  <c r="K4" i="1"/>
  <c r="E26" i="1"/>
  <c r="E16" i="1"/>
  <c r="E3" i="1"/>
  <c r="H12" i="3"/>
  <c r="G12" i="3"/>
  <c r="D11" i="3"/>
  <c r="E11" i="3"/>
  <c r="F11" i="3"/>
  <c r="H10" i="3"/>
  <c r="D10" i="3"/>
  <c r="E10" i="3"/>
  <c r="F10" i="3" s="1"/>
  <c r="G10" i="3" s="1"/>
  <c r="B11" i="3" s="1"/>
  <c r="C11" i="3" s="1"/>
  <c r="C10" i="3"/>
  <c r="B10" i="3"/>
  <c r="D9" i="3"/>
  <c r="E9" i="3"/>
  <c r="F9" i="3"/>
  <c r="G9" i="3"/>
  <c r="H9" i="3" s="1"/>
  <c r="C9" i="3"/>
  <c r="C7" i="3"/>
  <c r="D7" i="3" s="1"/>
  <c r="E7" i="3" s="1"/>
  <c r="F8" i="3" s="1"/>
  <c r="G8" i="3" s="1"/>
  <c r="H8" i="3" s="1"/>
  <c r="B9" i="3" s="1"/>
  <c r="B7" i="3"/>
  <c r="D6" i="3"/>
  <c r="E6" i="3"/>
  <c r="F6" i="3"/>
  <c r="G6" i="3"/>
  <c r="H6" i="3"/>
  <c r="C6" i="3"/>
  <c r="B6" i="3"/>
  <c r="D5" i="3"/>
  <c r="E5" i="3" s="1"/>
  <c r="F5" i="3" s="1"/>
  <c r="G5" i="3" s="1"/>
  <c r="H5" i="3" s="1"/>
  <c r="C5" i="3"/>
  <c r="B5" i="3"/>
  <c r="D4" i="3"/>
  <c r="E4" i="3"/>
  <c r="F4" i="3"/>
  <c r="G4" i="3"/>
  <c r="H4" i="3"/>
  <c r="C4" i="3"/>
  <c r="F3" i="3"/>
  <c r="G3" i="3"/>
  <c r="H3" i="3"/>
  <c r="B4" i="3" s="1"/>
  <c r="E3" i="3"/>
  <c r="E43" i="1" l="1"/>
  <c r="G11" i="3"/>
  <c r="H11" i="3" s="1"/>
  <c r="B12" i="3" s="1"/>
  <c r="C12" i="3" s="1"/>
  <c r="D12" i="3" s="1"/>
  <c r="E12" i="3" s="1"/>
  <c r="F12" i="3" s="1"/>
  <c r="L5" i="6"/>
  <c r="L4" i="6"/>
</calcChain>
</file>

<file path=xl/sharedStrings.xml><?xml version="1.0" encoding="utf-8"?>
<sst xmlns="http://schemas.openxmlformats.org/spreadsheetml/2006/main" count="275" uniqueCount="109">
  <si>
    <t>プレイヤー</t>
    <phoneticPr fontId="1"/>
  </si>
  <si>
    <t>敵</t>
    <rPh sb="0" eb="1">
      <t>テキ</t>
    </rPh>
    <phoneticPr fontId="1"/>
  </si>
  <si>
    <t>マップ</t>
    <phoneticPr fontId="1"/>
  </si>
  <si>
    <t>UI</t>
    <phoneticPr fontId="1"/>
  </si>
  <si>
    <t>タイトル</t>
    <phoneticPr fontId="1"/>
  </si>
  <si>
    <t>リザルト</t>
    <phoneticPr fontId="1"/>
  </si>
  <si>
    <t>アイテム</t>
    <phoneticPr fontId="1"/>
  </si>
  <si>
    <t>コスト</t>
    <phoneticPr fontId="1"/>
  </si>
  <si>
    <t>実コスト</t>
    <rPh sb="0" eb="1">
      <t>ジツ</t>
    </rPh>
    <phoneticPr fontId="1"/>
  </si>
  <si>
    <t>担当</t>
    <rPh sb="0" eb="2">
      <t>タントウ</t>
    </rPh>
    <phoneticPr fontId="1"/>
  </si>
  <si>
    <t>武部</t>
    <rPh sb="0" eb="2">
      <t>タケベ</t>
    </rPh>
    <phoneticPr fontId="1"/>
  </si>
  <si>
    <t>野田</t>
    <rPh sb="0" eb="2">
      <t>ノダ</t>
    </rPh>
    <phoneticPr fontId="1"/>
  </si>
  <si>
    <t xml:space="preserve"> 寺尾</t>
    <rPh sb="1" eb="3">
      <t>テラオ</t>
    </rPh>
    <phoneticPr fontId="1"/>
  </si>
  <si>
    <t>やること(プロト)</t>
    <phoneticPr fontId="1"/>
  </si>
  <si>
    <t>船迫</t>
    <rPh sb="0" eb="2">
      <t>フナサコ</t>
    </rPh>
    <phoneticPr fontId="1"/>
  </si>
  <si>
    <t>日</t>
    <rPh sb="0" eb="1">
      <t>ニチ</t>
    </rPh>
    <phoneticPr fontId="1"/>
  </si>
  <si>
    <t>月</t>
    <rPh sb="0" eb="1">
      <t>ゲツ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</si>
  <si>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</si>
  <si>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</si>
  <si>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  <rPh sb="0" eb="1">
      <t>モク</t>
    </rPh>
    <phoneticPr fontId="1"/>
  </si>
  <si>
    <t>金</t>
    <rPh sb="0" eb="1">
      <t>キン</t>
    </rPh>
    <phoneticPr fontId="1"/>
  </si>
  <si>
    <t>土</t>
    <rPh sb="0" eb="1">
      <t>ド</t>
    </rPh>
    <phoneticPr fontId="1"/>
  </si>
  <si>
    <t>スケジュール</t>
    <phoneticPr fontId="1"/>
  </si>
  <si>
    <t>プロト</t>
    <phoneticPr fontId="1"/>
  </si>
  <si>
    <t>アルファ</t>
    <phoneticPr fontId="1"/>
  </si>
  <si>
    <t>ベータ</t>
    <phoneticPr fontId="1"/>
  </si>
  <si>
    <t>マスタ</t>
    <phoneticPr fontId="1"/>
  </si>
  <si>
    <t>歩き</t>
    <rPh sb="0" eb="1">
      <t>アル</t>
    </rPh>
    <phoneticPr fontId="1"/>
  </si>
  <si>
    <t>死亡</t>
    <rPh sb="0" eb="2">
      <t>シボウ</t>
    </rPh>
    <phoneticPr fontId="1"/>
  </si>
  <si>
    <t>待機</t>
    <rPh sb="0" eb="2">
      <t>タイキ</t>
    </rPh>
    <phoneticPr fontId="1"/>
  </si>
  <si>
    <t>ー　壁</t>
    <rPh sb="2" eb="3">
      <t>カベ</t>
    </rPh>
    <phoneticPr fontId="1"/>
  </si>
  <si>
    <t>マップテクスチャ</t>
    <phoneticPr fontId="1"/>
  </si>
  <si>
    <t>ー　地面</t>
    <rPh sb="2" eb="4">
      <t>ジメン</t>
    </rPh>
    <phoneticPr fontId="1"/>
  </si>
  <si>
    <t>ドア</t>
    <phoneticPr fontId="1"/>
  </si>
  <si>
    <t>計コスト</t>
    <rPh sb="0" eb="1">
      <t>ケイ</t>
    </rPh>
    <phoneticPr fontId="1"/>
  </si>
  <si>
    <t>移動(アニメーション)</t>
    <rPh sb="0" eb="2">
      <t>イドウ</t>
    </rPh>
    <phoneticPr fontId="1"/>
  </si>
  <si>
    <t>1コスト１時間</t>
    <rPh sb="5" eb="7">
      <t>ジカン</t>
    </rPh>
    <phoneticPr fontId="1"/>
  </si>
  <si>
    <t>移動</t>
    <rPh sb="0" eb="2">
      <t>イドウ</t>
    </rPh>
    <phoneticPr fontId="1"/>
  </si>
  <si>
    <t>ー歩行</t>
    <rPh sb="1" eb="3">
      <t>ホコウ</t>
    </rPh>
    <phoneticPr fontId="1"/>
  </si>
  <si>
    <t>ーダッシュ</t>
    <phoneticPr fontId="1"/>
  </si>
  <si>
    <t>復活</t>
    <rPh sb="0" eb="2">
      <t>フッカツ</t>
    </rPh>
    <phoneticPr fontId="1"/>
  </si>
  <si>
    <t>当たり判定</t>
    <rPh sb="0" eb="1">
      <t>ア</t>
    </rPh>
    <rPh sb="3" eb="5">
      <t>ハンテイ</t>
    </rPh>
    <phoneticPr fontId="1"/>
  </si>
  <si>
    <t>ー壁</t>
    <rPh sb="1" eb="2">
      <t>カベ</t>
    </rPh>
    <phoneticPr fontId="1"/>
  </si>
  <si>
    <t>ー床</t>
    <rPh sb="1" eb="2">
      <t>ユカ</t>
    </rPh>
    <phoneticPr fontId="1"/>
  </si>
  <si>
    <t>ー敵</t>
    <rPh sb="1" eb="2">
      <t>テキ</t>
    </rPh>
    <phoneticPr fontId="1"/>
  </si>
  <si>
    <t>ランダム移動</t>
    <rPh sb="4" eb="6">
      <t>イドウ</t>
    </rPh>
    <phoneticPr fontId="1"/>
  </si>
  <si>
    <t>プレイヤー発見</t>
    <rPh sb="5" eb="7">
      <t>ハッケン</t>
    </rPh>
    <phoneticPr fontId="1"/>
  </si>
  <si>
    <t>追跡</t>
    <rPh sb="0" eb="2">
      <t>ツイセキ</t>
    </rPh>
    <phoneticPr fontId="1"/>
  </si>
  <si>
    <t>見失い</t>
    <rPh sb="0" eb="2">
      <t>ミウシナ</t>
    </rPh>
    <phoneticPr fontId="1"/>
  </si>
  <si>
    <t>スポーン</t>
    <phoneticPr fontId="1"/>
  </si>
  <si>
    <t>ープレイヤー</t>
    <phoneticPr fontId="1"/>
  </si>
  <si>
    <t>アイテム</t>
    <phoneticPr fontId="1"/>
  </si>
  <si>
    <t>ーアイテム配置</t>
    <rPh sb="5" eb="7">
      <t>ハイチ</t>
    </rPh>
    <phoneticPr fontId="1"/>
  </si>
  <si>
    <t>ーアイテム取得</t>
    <rPh sb="5" eb="7">
      <t>シュトク</t>
    </rPh>
    <phoneticPr fontId="1"/>
  </si>
  <si>
    <t>ロビー</t>
    <phoneticPr fontId="1"/>
  </si>
  <si>
    <t>ー残りアイテム表示</t>
    <rPh sb="1" eb="2">
      <t>ノコ</t>
    </rPh>
    <rPh sb="7" eb="9">
      <t>ヒョウジ</t>
    </rPh>
    <phoneticPr fontId="1"/>
  </si>
  <si>
    <t>シーン遷移</t>
    <rPh sb="3" eb="5">
      <t>センイ</t>
    </rPh>
    <phoneticPr fontId="1"/>
  </si>
  <si>
    <t>タイトル仮UI</t>
    <rPh sb="4" eb="5">
      <t>カリ</t>
    </rPh>
    <phoneticPr fontId="1"/>
  </si>
  <si>
    <t>ゲーム中仮UI</t>
    <rPh sb="3" eb="4">
      <t>チュウ</t>
    </rPh>
    <rPh sb="4" eb="5">
      <t>カリ</t>
    </rPh>
    <phoneticPr fontId="1"/>
  </si>
  <si>
    <t>インゲームUI</t>
    <phoneticPr fontId="1"/>
  </si>
  <si>
    <t>残機表示</t>
    <rPh sb="0" eb="2">
      <t>ザンキ</t>
    </rPh>
    <rPh sb="2" eb="4">
      <t>ヒョウジ</t>
    </rPh>
    <phoneticPr fontId="1"/>
  </si>
  <si>
    <t>スコア表示</t>
    <rPh sb="3" eb="5">
      <t>ヒョウジ</t>
    </rPh>
    <phoneticPr fontId="1"/>
  </si>
  <si>
    <t>やること(アルファ)</t>
    <phoneticPr fontId="1"/>
  </si>
  <si>
    <t>ミニマップ</t>
    <phoneticPr fontId="1"/>
  </si>
  <si>
    <t>3Dモデル導入</t>
    <rPh sb="5" eb="7">
      <t>ドウニュウ</t>
    </rPh>
    <phoneticPr fontId="1"/>
  </si>
  <si>
    <t>アニメーション</t>
    <phoneticPr fontId="1"/>
  </si>
  <si>
    <t>本デザイン差し替え</t>
    <rPh sb="0" eb="1">
      <t>ホン</t>
    </rPh>
    <rPh sb="5" eb="6">
      <t>サ</t>
    </rPh>
    <rPh sb="7" eb="8">
      <t>カ</t>
    </rPh>
    <phoneticPr fontId="1"/>
  </si>
  <si>
    <t>サウンド</t>
    <phoneticPr fontId="1"/>
  </si>
  <si>
    <t>（サウンド）</t>
    <phoneticPr fontId="1"/>
  </si>
  <si>
    <t>(サウンド）</t>
    <phoneticPr fontId="1"/>
  </si>
  <si>
    <t>やること(β・Ｍ)</t>
    <phoneticPr fontId="1"/>
  </si>
  <si>
    <t>バグとり</t>
    <phoneticPr fontId="1"/>
  </si>
  <si>
    <t>バグどり</t>
    <phoneticPr fontId="1"/>
  </si>
  <si>
    <t>完全提出日</t>
    <rPh sb="0" eb="5">
      <t>カンゼンテイシュツビ</t>
    </rPh>
    <phoneticPr fontId="1"/>
  </si>
  <si>
    <t>今日の日付</t>
    <rPh sb="0" eb="2">
      <t>キョウ</t>
    </rPh>
    <rPh sb="3" eb="5">
      <t>ヒヅケ</t>
    </rPh>
    <phoneticPr fontId="1"/>
  </si>
  <si>
    <t>プロト終了予定日</t>
    <rPh sb="3" eb="5">
      <t>シュウリョウ</t>
    </rPh>
    <rPh sb="5" eb="7">
      <t>ヨテイ</t>
    </rPh>
    <rPh sb="7" eb="8">
      <t>ビ</t>
    </rPh>
    <phoneticPr fontId="1"/>
  </si>
  <si>
    <t>アルファ終了予定日</t>
    <rPh sb="4" eb="6">
      <t>シュウリョウ</t>
    </rPh>
    <rPh sb="6" eb="8">
      <t>ヨテイ</t>
    </rPh>
    <rPh sb="8" eb="9">
      <t>ビ</t>
    </rPh>
    <phoneticPr fontId="1"/>
  </si>
  <si>
    <t>ベータ終了予定日</t>
    <rPh sb="3" eb="5">
      <t>シュウリョウ</t>
    </rPh>
    <rPh sb="5" eb="7">
      <t>ヨテイ</t>
    </rPh>
    <rPh sb="7" eb="8">
      <t>ビ</t>
    </rPh>
    <phoneticPr fontId="1"/>
  </si>
  <si>
    <t>マスタ終了予定日</t>
    <rPh sb="3" eb="5">
      <t>シュウリョウ</t>
    </rPh>
    <rPh sb="5" eb="7">
      <t>ヨテイ</t>
    </rPh>
    <rPh sb="7" eb="8">
      <t>ビ</t>
    </rPh>
    <phoneticPr fontId="1"/>
  </si>
  <si>
    <t>判定</t>
    <rPh sb="0" eb="2">
      <t>ハンテイ</t>
    </rPh>
    <phoneticPr fontId="1"/>
  </si>
  <si>
    <t>未完</t>
    <rPh sb="0" eb="2">
      <t>ミカン</t>
    </rPh>
    <phoneticPr fontId="1"/>
  </si>
  <si>
    <t>カメラ(一人称)</t>
    <rPh sb="4" eb="7">
      <t>イチニンショウ</t>
    </rPh>
    <phoneticPr fontId="1"/>
  </si>
  <si>
    <t>総コスト</t>
    <rPh sb="0" eb="1">
      <t>ソウ</t>
    </rPh>
    <phoneticPr fontId="1"/>
  </si>
  <si>
    <t>残日数</t>
    <rPh sb="0" eb="1">
      <t>ノコ</t>
    </rPh>
    <rPh sb="1" eb="3">
      <t>ニッスウ</t>
    </rPh>
    <phoneticPr fontId="1"/>
  </si>
  <si>
    <t>完了</t>
    <rPh sb="0" eb="2">
      <t>カンリョウ</t>
    </rPh>
    <phoneticPr fontId="1"/>
  </si>
  <si>
    <t>視点反転</t>
    <rPh sb="0" eb="4">
      <t>シテンハンテン</t>
    </rPh>
    <phoneticPr fontId="1"/>
  </si>
  <si>
    <t>ージャンプ</t>
    <phoneticPr fontId="1"/>
  </si>
  <si>
    <t>テクスチャ</t>
    <phoneticPr fontId="1"/>
  </si>
  <si>
    <t>※アルファでサウンドができなかった場合、ベータで実装</t>
    <rPh sb="17" eb="19">
      <t>バアイ</t>
    </rPh>
    <rPh sb="24" eb="26">
      <t>ジッソウ</t>
    </rPh>
    <phoneticPr fontId="1"/>
  </si>
  <si>
    <t>歩行</t>
    <rPh sb="0" eb="2">
      <t>ホコウ</t>
    </rPh>
    <phoneticPr fontId="1"/>
  </si>
  <si>
    <t>ダッシュ</t>
    <phoneticPr fontId="1"/>
  </si>
  <si>
    <t>ジャンプ</t>
    <phoneticPr fontId="1"/>
  </si>
  <si>
    <t>マップ制作</t>
    <rPh sb="3" eb="5">
      <t>セイサク</t>
    </rPh>
    <phoneticPr fontId="1"/>
  </si>
  <si>
    <t>ボタン</t>
    <phoneticPr fontId="1"/>
  </si>
  <si>
    <t>敵の増加</t>
    <rPh sb="0" eb="1">
      <t>テキ</t>
    </rPh>
    <rPh sb="2" eb="4">
      <t>ゾウカ</t>
    </rPh>
    <phoneticPr fontId="1"/>
  </si>
  <si>
    <t>ギミック</t>
    <phoneticPr fontId="1"/>
  </si>
  <si>
    <t>ポーズ</t>
    <phoneticPr fontId="1"/>
  </si>
  <si>
    <t>(寺尾)</t>
    <rPh sb="1" eb="3">
      <t>テラオ</t>
    </rPh>
    <phoneticPr fontId="1"/>
  </si>
  <si>
    <t>フェード</t>
    <phoneticPr fontId="1"/>
  </si>
  <si>
    <t>寺尾</t>
    <rPh sb="0" eb="2">
      <t>テラオ</t>
    </rPh>
    <phoneticPr fontId="1"/>
  </si>
  <si>
    <t>ゲームオーバー</t>
    <phoneticPr fontId="1"/>
  </si>
  <si>
    <t>合計</t>
    <rPh sb="0" eb="2">
      <t>ゴウケイ</t>
    </rPh>
    <phoneticPr fontId="1"/>
  </si>
  <si>
    <t>プロト総コスト</t>
    <rPh sb="3" eb="4">
      <t>ソウ</t>
    </rPh>
    <phoneticPr fontId="1"/>
  </si>
  <si>
    <t>アルファ総コスト</t>
    <rPh sb="4" eb="5">
      <t>ソウ</t>
    </rPh>
    <phoneticPr fontId="1"/>
  </si>
  <si>
    <t>雰囲気づくり</t>
    <rPh sb="0" eb="3">
      <t>フンイキ</t>
    </rPh>
    <phoneticPr fontId="1"/>
  </si>
  <si>
    <t>提出日</t>
    <rPh sb="0" eb="3">
      <t>テイシュツビ</t>
    </rPh>
    <phoneticPr fontId="1"/>
  </si>
  <si>
    <t>SE</t>
    <phoneticPr fontId="1"/>
  </si>
  <si>
    <t>ー　ボタン</t>
    <phoneticPr fontId="1"/>
  </si>
  <si>
    <t>ー　BGM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</si>
</sst>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3"/>
      <charset val="128"/>
      <scheme val="minor"/>
    </font>
    <font>
      <sz val="22"/>
      <color theme="1"/>
      <name val="Yu Gothic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56" fontId="0" fillId="0" borderId="1" xfId="0" applyNumberFormat="1" applyBorder="1"/>
    <xf numFmtId="56" fontId="0" fillId="0" borderId="5" xfId="0" applyNumberFormat="1" applyBorder="1"/>
    <xf numFmtId="56" fontId="0" fillId="0" borderId="6" xfId="0" applyNumberFormat="1" applyBorder="1"/>
    <xf numFmtId="0" fontId="0" fillId="2" borderId="0" xfId="0" applyFill="1"/>
    <xf numFmtId="0" fontId="0" fillId="4" borderId="0" xfId="0" applyFill="1"/>
    <xf numFmtId="0" fontId="0" fillId="5" borderId="0" xfId="0" applyFill="1"/>
    <xf numFmtId="56" fontId="0" fillId="6" borderId="1" xfId="0" applyNumberFormat="1" applyFill="1" applyBorder="1"/>
    <xf numFmtId="56" fontId="0" fillId="6" borderId="2" xfId="0" applyNumberFormat="1" applyFill="1" applyBorder="1"/>
    <xf numFmtId="56" fontId="0" fillId="4" borderId="2" xfId="0" applyNumberFormat="1" applyFill="1" applyBorder="1"/>
    <xf numFmtId="56" fontId="0" fillId="4" borderId="1" xfId="0" applyNumberFormat="1" applyFill="1" applyBorder="1"/>
    <xf numFmtId="56" fontId="0" fillId="4" borderId="3" xfId="0" applyNumberFormat="1" applyFill="1" applyBorder="1"/>
    <xf numFmtId="56" fontId="0" fillId="5" borderId="1" xfId="0" applyNumberFormat="1" applyFill="1" applyBorder="1"/>
    <xf numFmtId="0" fontId="0" fillId="7" borderId="0" xfId="0" applyFill="1"/>
    <xf numFmtId="0" fontId="0" fillId="0" borderId="24" xfId="0" applyBorder="1"/>
    <xf numFmtId="56" fontId="0" fillId="6" borderId="8" xfId="0" applyNumberFormat="1" applyFill="1" applyBorder="1"/>
    <xf numFmtId="56" fontId="0" fillId="6" borderId="9" xfId="0" applyNumberFormat="1" applyFill="1" applyBorder="1"/>
    <xf numFmtId="0" fontId="0" fillId="3" borderId="16" xfId="0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56" fontId="0" fillId="0" borderId="3" xfId="0" applyNumberFormat="1" applyBorder="1"/>
    <xf numFmtId="56" fontId="0" fillId="0" borderId="4" xfId="0" applyNumberFormat="1" applyBorder="1"/>
    <xf numFmtId="56" fontId="0" fillId="8" borderId="1" xfId="0" applyNumberFormat="1" applyFill="1" applyBorder="1"/>
    <xf numFmtId="0" fontId="0" fillId="0" borderId="18" xfId="0" applyBorder="1" applyAlignment="1">
      <alignment horizontal="right" vertical="center"/>
    </xf>
    <xf numFmtId="0" fontId="0" fillId="0" borderId="20" xfId="0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0" borderId="17" xfId="0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30" xfId="0" applyBorder="1" applyAlignment="1">
      <alignment horizontal="center" vertical="center"/>
    </xf>
    <xf numFmtId="56" fontId="0" fillId="9" borderId="1" xfId="0" applyNumberFormat="1" applyFill="1" applyBorder="1"/>
    <xf numFmtId="56" fontId="0" fillId="9" borderId="3" xfId="0" applyNumberFormat="1" applyFill="1" applyBorder="1"/>
    <xf numFmtId="56" fontId="0" fillId="9" borderId="2" xfId="0" applyNumberFormat="1" applyFill="1" applyBorder="1"/>
    <xf numFmtId="0" fontId="0" fillId="0" borderId="31" xfId="0" applyBorder="1" applyAlignment="1">
      <alignment horizontal="center" vertical="center"/>
    </xf>
    <xf numFmtId="56" fontId="0" fillId="7" borderId="2" xfId="0" applyNumberFormat="1" applyFill="1" applyBorder="1"/>
    <xf numFmtId="0" fontId="0" fillId="0" borderId="26" xfId="0" applyBorder="1" applyAlignment="1">
      <alignment horizontal="right" vertical="center"/>
    </xf>
    <xf numFmtId="0" fontId="0" fillId="0" borderId="28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10" borderId="14" xfId="0" applyFill="1" applyBorder="1" applyAlignment="1">
      <alignment horizontal="center" vertical="center"/>
    </xf>
    <xf numFmtId="14" fontId="0" fillId="0" borderId="26" xfId="0" applyNumberFormat="1" applyBorder="1" applyAlignment="1">
      <alignment horizontal="center" vertical="center"/>
    </xf>
    <xf numFmtId="14" fontId="0" fillId="0" borderId="28" xfId="0" applyNumberFormat="1" applyBorder="1" applyAlignment="1">
      <alignment horizontal="center" vertical="center"/>
    </xf>
    <xf numFmtId="14" fontId="0" fillId="0" borderId="30" xfId="0" applyNumberFormat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11" borderId="19" xfId="0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5" xfId="0" applyBorder="1" applyAlignment="1">
      <alignment horizontal="center" vertical="center"/>
    </xf>
    <xf numFmtId="56" fontId="0" fillId="9" borderId="4" xfId="0" applyNumberFormat="1" applyFill="1" applyBorder="1"/>
    <xf numFmtId="56" fontId="0" fillId="9" borderId="5" xfId="0" applyNumberFormat="1" applyFill="1" applyBorder="1"/>
    <xf numFmtId="0" fontId="0" fillId="0" borderId="30" xfId="0" applyBorder="1" applyAlignment="1">
      <alignment horizontal="right" vertical="center"/>
    </xf>
    <xf numFmtId="0" fontId="0" fillId="0" borderId="37" xfId="0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0" borderId="37" xfId="0" applyBorder="1" applyAlignment="1">
      <alignment horizontal="right" vertical="center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right" vertical="center"/>
    </xf>
    <xf numFmtId="0" fontId="0" fillId="0" borderId="35" xfId="0" applyBorder="1" applyAlignment="1">
      <alignment horizontal="right" vertical="center"/>
    </xf>
    <xf numFmtId="0" fontId="0" fillId="11" borderId="32" xfId="0" applyFill="1" applyBorder="1" applyAlignment="1">
      <alignment horizontal="center" vertical="center"/>
    </xf>
    <xf numFmtId="14" fontId="0" fillId="0" borderId="29" xfId="0" applyNumberFormat="1" applyBorder="1" applyAlignment="1">
      <alignment horizontal="center" vertical="center"/>
    </xf>
    <xf numFmtId="0" fontId="0" fillId="0" borderId="29" xfId="0" applyBorder="1" applyAlignment="1">
      <alignment horizontal="right" vertical="center"/>
    </xf>
    <xf numFmtId="0" fontId="0" fillId="2" borderId="14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49" xfId="0" applyBorder="1" applyAlignment="1">
      <alignment horizontal="center" vertical="center"/>
    </xf>
    <xf numFmtId="0" fontId="0" fillId="0" borderId="49" xfId="0" applyBorder="1" applyAlignment="1">
      <alignment horizontal="right" vertical="center"/>
    </xf>
    <xf numFmtId="0" fontId="0" fillId="0" borderId="46" xfId="0" applyBorder="1" applyAlignment="1">
      <alignment horizontal="center" vertical="center"/>
    </xf>
    <xf numFmtId="56" fontId="0" fillId="5" borderId="3" xfId="0" applyNumberFormat="1" applyFill="1" applyBorder="1"/>
    <xf numFmtId="0" fontId="0" fillId="0" borderId="4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2" xfId="0" applyBorder="1"/>
    <xf numFmtId="0" fontId="0" fillId="0" borderId="1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/>
    <xf numFmtId="0" fontId="0" fillId="0" borderId="7" xfId="0" applyBorder="1"/>
    <xf numFmtId="0" fontId="0" fillId="0" borderId="13" xfId="0" applyBorder="1"/>
    <xf numFmtId="0" fontId="0" fillId="0" borderId="21" xfId="0" applyBorder="1"/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0" fillId="0" borderId="51" xfId="0" applyBorder="1"/>
    <xf numFmtId="56" fontId="0" fillId="9" borderId="8" xfId="0" applyNumberFormat="1" applyFill="1" applyBorder="1"/>
    <xf numFmtId="56" fontId="0" fillId="9" borderId="9" xfId="0" applyNumberFormat="1" applyFill="1" applyBorder="1"/>
    <xf numFmtId="0" fontId="0" fillId="11" borderId="0" xfId="0" applyFill="1"/>
    <xf numFmtId="0" fontId="3" fillId="0" borderId="25" xfId="0" applyFont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12" borderId="36" xfId="0" applyFill="1" applyBorder="1" applyAlignment="1">
      <alignment horizontal="center" vertical="center"/>
    </xf>
    <xf numFmtId="0" fontId="0" fillId="12" borderId="50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24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0" fontId="0" fillId="12" borderId="31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2" borderId="34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2" fillId="12" borderId="34" xfId="0" applyFont="1" applyFill="1" applyBorder="1" applyAlignment="1">
      <alignment horizontal="center" vertical="center"/>
    </xf>
    <xf numFmtId="0" fontId="2" fillId="12" borderId="44" xfId="0" applyFont="1" applyFill="1" applyBorder="1" applyAlignment="1">
      <alignment horizontal="center" vertical="center"/>
    </xf>
    <xf numFmtId="0" fontId="0" fillId="12" borderId="44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" borderId="15" xfId="0" applyFill="1" applyBorder="1" applyAlignment="1">
      <alignment horizontal="center" vertical="center"/>
    </xf>
    <xf numFmtId="0" fontId="0" fillId="12" borderId="22" xfId="0" applyFill="1" applyBorder="1" applyAlignment="1">
      <alignment horizontal="center" vertical="center"/>
    </xf>
    <xf numFmtId="0" fontId="0" fillId="12" borderId="23" xfId="0" applyFill="1" applyBorder="1" applyAlignment="1">
      <alignment horizontal="center" vertical="center"/>
    </xf>
    <xf numFmtId="0" fontId="0" fillId="12" borderId="45" xfId="0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4" borderId="10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12" borderId="13" xfId="0" applyFill="1" applyBorder="1" applyAlignment="1">
      <alignment horizontal="center" vertical="center"/>
    </xf>
    <xf numFmtId="0" fontId="0" fillId="12" borderId="28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23" xfId="0" applyFill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0" fontId="0" fillId="12" borderId="47" xfId="0" applyFill="1" applyBorder="1" applyAlignment="1">
      <alignment horizontal="center" vertical="center"/>
    </xf>
    <xf numFmtId="0" fontId="0" fillId="12" borderId="48" xfId="0" applyFill="1" applyBorder="1" applyAlignment="1">
      <alignment horizontal="center" vertical="center"/>
    </xf>
    <xf numFmtId="0" fontId="0" fillId="12" borderId="41" xfId="0" applyFill="1" applyBorder="1" applyAlignment="1">
      <alignment horizontal="center" vertical="center"/>
    </xf>
    <xf numFmtId="0" fontId="0" fillId="12" borderId="42" xfId="0" applyFill="1" applyBorder="1" applyAlignment="1">
      <alignment horizontal="center" vertical="center"/>
    </xf>
    <xf numFmtId="0" fontId="0" fillId="12" borderId="39" xfId="0" applyFill="1" applyBorder="1" applyAlignment="1">
      <alignment horizontal="center" vertical="center"/>
    </xf>
    <xf numFmtId="0" fontId="0" fillId="12" borderId="40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2" borderId="43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3300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S43"/>
  <sheetViews>
    <sheetView topLeftCell="A21" workbookViewId="0">
      <selection activeCell="B43" sqref="B43:C43"/>
    </sheetView>
  </sheetViews>
  <sheetFormatPr defaultColWidth="9" defaultRowHeight="18"/>
  <cols>
    <col min="1" max="1" width="9" style="4" customWidth="1"/>
    <col min="2" max="2" width="17.09765625" style="4" customWidth="1"/>
    <col min="3" max="3" width="9" style="4"/>
    <col min="4" max="4" width="6.19921875" style="4" customWidth="1"/>
    <col min="5" max="5" width="7.09765625" style="4" bestFit="1" customWidth="1"/>
    <col min="6" max="6" width="9" style="4" bestFit="1" customWidth="1"/>
    <col min="7" max="8" width="9" style="4"/>
    <col min="9" max="9" width="17.09765625" style="4" bestFit="1" customWidth="1"/>
    <col min="10" max="10" width="11.3984375" style="4" bestFit="1" customWidth="1"/>
    <col min="11" max="11" width="9" style="4"/>
    <col min="12" max="12" width="9" style="4" bestFit="1" customWidth="1"/>
    <col min="13" max="16384" width="9" style="4"/>
  </cols>
  <sheetData>
    <row r="1" spans="2:19" ht="18.600000000000001" thickBot="1"/>
    <row r="2" spans="2:19" ht="18.600000000000001" thickBot="1">
      <c r="B2" s="112" t="s">
        <v>13</v>
      </c>
      <c r="C2" s="113"/>
      <c r="D2" s="72" t="s">
        <v>9</v>
      </c>
      <c r="E2" s="10" t="s">
        <v>7</v>
      </c>
      <c r="F2" s="10" t="s">
        <v>8</v>
      </c>
      <c r="G2" s="10" t="s">
        <v>79</v>
      </c>
    </row>
    <row r="3" spans="2:19" ht="18.600000000000001" thickBot="1">
      <c r="B3" s="110" t="s">
        <v>0</v>
      </c>
      <c r="C3" s="111"/>
      <c r="D3" s="72" t="s">
        <v>12</v>
      </c>
      <c r="E3" s="38">
        <f>SUM(E4:E15)</f>
        <v>21</v>
      </c>
      <c r="F3" s="38">
        <f>SUM(F4:F15)</f>
        <v>23</v>
      </c>
      <c r="G3" s="10" t="s">
        <v>84</v>
      </c>
      <c r="I3" s="48" t="s">
        <v>74</v>
      </c>
      <c r="J3" s="51">
        <f ca="1">TODAY()</f>
        <v>46306</v>
      </c>
      <c r="K3" s="39" t="s">
        <v>83</v>
      </c>
    </row>
    <row r="4" spans="2:19" ht="18.600000000000001" thickBot="1">
      <c r="B4" s="114" t="s">
        <v>37</v>
      </c>
      <c r="C4" s="115"/>
      <c r="D4" s="82"/>
      <c r="E4" s="37">
        <f>SUM(E5:E7)</f>
        <v>4</v>
      </c>
      <c r="F4" s="37">
        <f>SUM(F5:F7)</f>
        <v>5</v>
      </c>
      <c r="G4" s="9" t="s">
        <v>84</v>
      </c>
      <c r="I4" s="70" t="s">
        <v>75</v>
      </c>
      <c r="J4" s="51">
        <v>46295</v>
      </c>
      <c r="K4" s="60" t="str">
        <f ca="1">SUM($J4-J3)&amp; "日"</f>
        <v>-11日</v>
      </c>
    </row>
    <row r="5" spans="2:19" ht="18.600000000000001" thickBot="1">
      <c r="B5" s="116" t="s">
        <v>38</v>
      </c>
      <c r="C5" s="117"/>
      <c r="D5" s="74"/>
      <c r="E5" s="33">
        <v>2</v>
      </c>
      <c r="F5" s="33">
        <v>2</v>
      </c>
      <c r="G5" s="9" t="s">
        <v>84</v>
      </c>
      <c r="I5" s="67" t="s">
        <v>73</v>
      </c>
      <c r="J5" s="68">
        <v>46314</v>
      </c>
      <c r="K5" s="69" t="str">
        <f ca="1">SUM(J5-J3)&amp; "日"</f>
        <v>8日</v>
      </c>
      <c r="R5" s="55"/>
      <c r="S5" s="56"/>
    </row>
    <row r="6" spans="2:19" ht="18.600000000000001" thickBot="1">
      <c r="B6" s="116" t="s">
        <v>39</v>
      </c>
      <c r="C6" s="117"/>
      <c r="D6" s="74"/>
      <c r="E6" s="33">
        <v>1</v>
      </c>
      <c r="F6" s="33">
        <v>2</v>
      </c>
      <c r="G6" s="9" t="s">
        <v>84</v>
      </c>
      <c r="R6" s="55"/>
      <c r="S6" s="56"/>
    </row>
    <row r="7" spans="2:19" ht="18.600000000000001" thickBot="1">
      <c r="B7" s="116" t="s">
        <v>86</v>
      </c>
      <c r="C7" s="117"/>
      <c r="D7" s="74"/>
      <c r="E7" s="33">
        <v>1</v>
      </c>
      <c r="F7" s="37">
        <v>1</v>
      </c>
      <c r="G7" s="9" t="s">
        <v>84</v>
      </c>
      <c r="I7" s="98" t="s">
        <v>102</v>
      </c>
      <c r="J7" s="99"/>
      <c r="R7" s="55"/>
      <c r="S7" s="56"/>
    </row>
    <row r="8" spans="2:19">
      <c r="B8" s="102" t="s">
        <v>85</v>
      </c>
      <c r="C8" s="103"/>
      <c r="D8" s="74"/>
      <c r="E8" s="33">
        <v>2</v>
      </c>
      <c r="F8" s="37">
        <v>2</v>
      </c>
      <c r="G8" s="9" t="s">
        <v>84</v>
      </c>
      <c r="I8" s="86" t="s">
        <v>99</v>
      </c>
      <c r="J8" s="89">
        <f>SUM(E3)</f>
        <v>21</v>
      </c>
    </row>
    <row r="9" spans="2:19">
      <c r="B9" s="102" t="s">
        <v>28</v>
      </c>
      <c r="C9" s="103"/>
      <c r="D9" s="75"/>
      <c r="E9" s="34">
        <v>2</v>
      </c>
      <c r="F9" s="34">
        <v>2</v>
      </c>
      <c r="G9" s="9" t="s">
        <v>84</v>
      </c>
      <c r="I9" s="87" t="s">
        <v>11</v>
      </c>
      <c r="J9" s="90">
        <f>SUM(E16)</f>
        <v>16</v>
      </c>
    </row>
    <row r="10" spans="2:19">
      <c r="B10" s="102" t="s">
        <v>40</v>
      </c>
      <c r="C10" s="103"/>
      <c r="D10" s="75"/>
      <c r="E10" s="34">
        <v>2</v>
      </c>
      <c r="F10" s="34">
        <v>2</v>
      </c>
      <c r="G10" s="9" t="s">
        <v>84</v>
      </c>
      <c r="I10" s="87" t="s">
        <v>10</v>
      </c>
      <c r="J10" s="90">
        <f>SUM(E26)</f>
        <v>16</v>
      </c>
    </row>
    <row r="11" spans="2:19" ht="18.600000000000001" thickBot="1">
      <c r="B11" s="106" t="s">
        <v>81</v>
      </c>
      <c r="C11" s="107"/>
      <c r="D11" s="74"/>
      <c r="E11" s="33">
        <v>1</v>
      </c>
      <c r="F11" s="33">
        <v>1</v>
      </c>
      <c r="G11" s="6" t="s">
        <v>84</v>
      </c>
      <c r="I11" s="88" t="s">
        <v>14</v>
      </c>
      <c r="J11" s="91">
        <f>SUM(E32)</f>
        <v>13</v>
      </c>
    </row>
    <row r="12" spans="2:19" ht="18.600000000000001" thickBot="1">
      <c r="B12" s="102" t="s">
        <v>41</v>
      </c>
      <c r="C12" s="103"/>
      <c r="D12" s="74"/>
      <c r="E12" s="33">
        <f>SUM(E13:E15)</f>
        <v>3</v>
      </c>
      <c r="F12" s="33">
        <f>SUM(F13:F15)</f>
        <v>3</v>
      </c>
      <c r="G12" s="6" t="s">
        <v>84</v>
      </c>
      <c r="I12" s="93" t="s">
        <v>101</v>
      </c>
      <c r="J12" s="83">
        <f>SUM(J8:J11)</f>
        <v>66</v>
      </c>
    </row>
    <row r="13" spans="2:19">
      <c r="B13" s="104" t="s">
        <v>42</v>
      </c>
      <c r="C13" s="105"/>
      <c r="D13" s="74"/>
      <c r="E13" s="33">
        <v>1</v>
      </c>
      <c r="F13" s="33">
        <v>1</v>
      </c>
      <c r="G13" s="6" t="s">
        <v>84</v>
      </c>
    </row>
    <row r="14" spans="2:19">
      <c r="B14" s="116" t="s">
        <v>43</v>
      </c>
      <c r="C14" s="117"/>
      <c r="D14" s="74"/>
      <c r="E14" s="33">
        <v>1</v>
      </c>
      <c r="F14" s="33">
        <v>1</v>
      </c>
      <c r="G14" s="6" t="s">
        <v>84</v>
      </c>
      <c r="R14" s="55"/>
      <c r="S14" s="56"/>
    </row>
    <row r="15" spans="2:19" ht="18.600000000000001" thickBot="1">
      <c r="B15" s="119" t="s">
        <v>44</v>
      </c>
      <c r="C15" s="120"/>
      <c r="D15" s="75"/>
      <c r="E15" s="34">
        <v>1</v>
      </c>
      <c r="F15" s="34">
        <v>1</v>
      </c>
      <c r="G15" s="6" t="s">
        <v>84</v>
      </c>
    </row>
    <row r="16" spans="2:19" ht="18.600000000000001" thickBot="1">
      <c r="B16" s="110" t="s">
        <v>1</v>
      </c>
      <c r="C16" s="111"/>
      <c r="D16" s="71" t="s">
        <v>11</v>
      </c>
      <c r="E16" s="38">
        <f>SUM(E17:E25)</f>
        <v>16</v>
      </c>
      <c r="F16" s="38">
        <v>8</v>
      </c>
      <c r="G16" s="10" t="s">
        <v>84</v>
      </c>
    </row>
    <row r="17" spans="2:7">
      <c r="B17" s="114" t="s">
        <v>45</v>
      </c>
      <c r="C17" s="115"/>
      <c r="D17" s="82"/>
      <c r="E17" s="37">
        <v>3</v>
      </c>
      <c r="F17" s="37">
        <v>1</v>
      </c>
      <c r="G17" s="9" t="s">
        <v>84</v>
      </c>
    </row>
    <row r="18" spans="2:7">
      <c r="B18" s="102" t="s">
        <v>46</v>
      </c>
      <c r="C18" s="103"/>
      <c r="D18" s="74"/>
      <c r="E18" s="33">
        <v>3</v>
      </c>
      <c r="F18" s="33">
        <v>1</v>
      </c>
      <c r="G18" s="6" t="s">
        <v>84</v>
      </c>
    </row>
    <row r="19" spans="2:7">
      <c r="B19" s="102" t="s">
        <v>47</v>
      </c>
      <c r="C19" s="103"/>
      <c r="D19" s="74"/>
      <c r="E19" s="33">
        <v>3</v>
      </c>
      <c r="F19" s="33">
        <v>1</v>
      </c>
      <c r="G19" s="6" t="s">
        <v>84</v>
      </c>
    </row>
    <row r="20" spans="2:7">
      <c r="B20" s="102" t="s">
        <v>48</v>
      </c>
      <c r="C20" s="103"/>
      <c r="D20" s="75"/>
      <c r="E20" s="33">
        <v>3</v>
      </c>
      <c r="F20" s="33">
        <v>1</v>
      </c>
      <c r="G20" s="6" t="s">
        <v>84</v>
      </c>
    </row>
    <row r="21" spans="2:7">
      <c r="B21" s="102" t="s">
        <v>49</v>
      </c>
      <c r="C21" s="103"/>
      <c r="D21" s="74"/>
      <c r="E21" s="63">
        <v>1</v>
      </c>
      <c r="F21" s="33">
        <v>1</v>
      </c>
      <c r="G21" s="6" t="s">
        <v>84</v>
      </c>
    </row>
    <row r="22" spans="2:7">
      <c r="B22" s="106" t="s">
        <v>41</v>
      </c>
      <c r="C22" s="107"/>
      <c r="D22" s="74"/>
      <c r="E22" s="33"/>
      <c r="F22" s="33">
        <v>3</v>
      </c>
      <c r="G22" s="6" t="s">
        <v>84</v>
      </c>
    </row>
    <row r="23" spans="2:7">
      <c r="B23" s="104" t="s">
        <v>42</v>
      </c>
      <c r="C23" s="105"/>
      <c r="D23" s="74"/>
      <c r="E23" s="33">
        <v>1</v>
      </c>
      <c r="F23" s="33">
        <v>1</v>
      </c>
      <c r="G23" s="6" t="s">
        <v>84</v>
      </c>
    </row>
    <row r="24" spans="2:7">
      <c r="B24" s="104" t="s">
        <v>43</v>
      </c>
      <c r="C24" s="105"/>
      <c r="D24" s="74"/>
      <c r="E24" s="33">
        <v>1</v>
      </c>
      <c r="F24" s="33">
        <v>1</v>
      </c>
      <c r="G24" s="6" t="s">
        <v>84</v>
      </c>
    </row>
    <row r="25" spans="2:7" ht="18.600000000000001" thickBot="1">
      <c r="B25" s="121" t="s">
        <v>50</v>
      </c>
      <c r="C25" s="122"/>
      <c r="D25" s="84"/>
      <c r="E25" s="35">
        <v>1</v>
      </c>
      <c r="F25" s="35">
        <v>1</v>
      </c>
      <c r="G25" s="6" t="s">
        <v>84</v>
      </c>
    </row>
    <row r="26" spans="2:7" ht="18.600000000000001" thickBot="1">
      <c r="B26" s="110" t="s">
        <v>2</v>
      </c>
      <c r="C26" s="111"/>
      <c r="D26" s="71" t="s">
        <v>10</v>
      </c>
      <c r="E26" s="38">
        <f>SUM(E27:E31)</f>
        <v>16</v>
      </c>
      <c r="F26" s="38">
        <f>SUM(F27,F28,F31)</f>
        <v>11</v>
      </c>
      <c r="G26" s="10" t="s">
        <v>84</v>
      </c>
    </row>
    <row r="27" spans="2:7">
      <c r="B27" s="108" t="s">
        <v>92</v>
      </c>
      <c r="C27" s="109"/>
      <c r="D27" s="82"/>
      <c r="E27" s="37">
        <v>5</v>
      </c>
      <c r="F27" s="37">
        <v>5</v>
      </c>
      <c r="G27" s="9" t="s">
        <v>84</v>
      </c>
    </row>
    <row r="28" spans="2:7">
      <c r="B28" s="106" t="s">
        <v>51</v>
      </c>
      <c r="C28" s="107"/>
      <c r="D28" s="74"/>
      <c r="E28" s="33">
        <f>SUM(E29:E30)</f>
        <v>4</v>
      </c>
      <c r="F28" s="33">
        <f>SUM(F29:F30)</f>
        <v>3</v>
      </c>
      <c r="G28" s="9" t="s">
        <v>84</v>
      </c>
    </row>
    <row r="29" spans="2:7">
      <c r="B29" s="104" t="s">
        <v>52</v>
      </c>
      <c r="C29" s="105"/>
      <c r="D29" s="74"/>
      <c r="E29" s="33">
        <v>2</v>
      </c>
      <c r="F29" s="33">
        <v>2</v>
      </c>
      <c r="G29" s="9" t="s">
        <v>84</v>
      </c>
    </row>
    <row r="30" spans="2:7">
      <c r="B30" s="104" t="s">
        <v>53</v>
      </c>
      <c r="C30" s="105"/>
      <c r="D30" s="74"/>
      <c r="E30" s="33">
        <v>2</v>
      </c>
      <c r="F30" s="33">
        <v>1</v>
      </c>
      <c r="G30" s="9" t="s">
        <v>84</v>
      </c>
    </row>
    <row r="31" spans="2:7" ht="18.600000000000001" thickBot="1">
      <c r="B31" s="123" t="s">
        <v>54</v>
      </c>
      <c r="C31" s="124"/>
      <c r="D31" s="75"/>
      <c r="E31" s="34">
        <v>3</v>
      </c>
      <c r="F31" s="34">
        <v>3</v>
      </c>
      <c r="G31" s="9" t="s">
        <v>84</v>
      </c>
    </row>
    <row r="32" spans="2:7" ht="18.600000000000001" thickBot="1">
      <c r="B32" s="110" t="s">
        <v>59</v>
      </c>
      <c r="C32" s="111"/>
      <c r="D32" s="71" t="s">
        <v>14</v>
      </c>
      <c r="E32" s="38">
        <f>SUM(E33:E42)</f>
        <v>13</v>
      </c>
      <c r="F32" s="38">
        <f>SUM(F34,F36,F37,F40,F41)</f>
        <v>5</v>
      </c>
      <c r="G32" s="10" t="s">
        <v>84</v>
      </c>
    </row>
    <row r="33" spans="2:7">
      <c r="B33" s="114" t="s">
        <v>58</v>
      </c>
      <c r="C33" s="115"/>
      <c r="D33" s="82"/>
      <c r="E33" s="37"/>
      <c r="F33" s="37"/>
      <c r="G33" s="9" t="s">
        <v>84</v>
      </c>
    </row>
    <row r="34" spans="2:7">
      <c r="B34" s="116" t="s">
        <v>55</v>
      </c>
      <c r="C34" s="117"/>
      <c r="D34" s="82"/>
      <c r="E34" s="37">
        <v>2</v>
      </c>
      <c r="F34" s="37">
        <v>1</v>
      </c>
      <c r="G34" s="6" t="s">
        <v>84</v>
      </c>
    </row>
    <row r="35" spans="2:7">
      <c r="B35" s="125" t="s">
        <v>4</v>
      </c>
      <c r="C35" s="126"/>
      <c r="D35" s="74"/>
      <c r="E35" s="33"/>
      <c r="F35" s="33"/>
      <c r="G35" s="6" t="s">
        <v>84</v>
      </c>
    </row>
    <row r="36" spans="2:7">
      <c r="B36" s="102" t="s">
        <v>56</v>
      </c>
      <c r="C36" s="103"/>
      <c r="D36" s="74"/>
      <c r="E36" s="33">
        <v>2</v>
      </c>
      <c r="F36" s="33">
        <v>1</v>
      </c>
      <c r="G36" s="6" t="s">
        <v>84</v>
      </c>
    </row>
    <row r="37" spans="2:7">
      <c r="B37" s="102" t="s">
        <v>57</v>
      </c>
      <c r="C37" s="103"/>
      <c r="D37" s="74"/>
      <c r="E37" s="33">
        <v>2</v>
      </c>
      <c r="F37" s="33">
        <v>1</v>
      </c>
      <c r="G37" s="6" t="s">
        <v>84</v>
      </c>
    </row>
    <row r="38" spans="2:7">
      <c r="B38" s="102" t="s">
        <v>93</v>
      </c>
      <c r="C38" s="103"/>
      <c r="D38" s="74"/>
      <c r="E38" s="33">
        <v>1</v>
      </c>
      <c r="F38" s="33">
        <v>1</v>
      </c>
      <c r="G38" s="6" t="s">
        <v>84</v>
      </c>
    </row>
    <row r="39" spans="2:7">
      <c r="B39" s="125" t="s">
        <v>5</v>
      </c>
      <c r="C39" s="126"/>
      <c r="D39" s="74"/>
      <c r="E39" s="33"/>
      <c r="F39" s="33"/>
      <c r="G39" s="6" t="s">
        <v>84</v>
      </c>
    </row>
    <row r="40" spans="2:7">
      <c r="B40" s="127" t="s">
        <v>60</v>
      </c>
      <c r="C40" s="128"/>
      <c r="D40" s="81"/>
      <c r="E40" s="33">
        <v>2</v>
      </c>
      <c r="F40" s="33">
        <v>1</v>
      </c>
      <c r="G40" s="6" t="s">
        <v>84</v>
      </c>
    </row>
    <row r="41" spans="2:7">
      <c r="B41" s="106" t="s">
        <v>61</v>
      </c>
      <c r="C41" s="118"/>
      <c r="D41" s="81"/>
      <c r="E41" s="33">
        <v>3</v>
      </c>
      <c r="F41" s="33">
        <v>1</v>
      </c>
      <c r="G41" s="6" t="s">
        <v>84</v>
      </c>
    </row>
    <row r="42" spans="2:7" ht="18.600000000000001" thickBot="1">
      <c r="B42" s="100" t="s">
        <v>93</v>
      </c>
      <c r="C42" s="101"/>
      <c r="D42" s="73"/>
      <c r="E42" s="34">
        <v>1</v>
      </c>
      <c r="F42" s="34">
        <v>1</v>
      </c>
      <c r="G42" s="6" t="s">
        <v>84</v>
      </c>
    </row>
    <row r="43" spans="2:7" ht="18.600000000000001" thickBot="1">
      <c r="B43" s="166" t="s">
        <v>82</v>
      </c>
      <c r="C43" s="168"/>
      <c r="D43" s="71"/>
      <c r="E43" s="38">
        <f>SUM(E3+E16+E26+F32)</f>
        <v>58</v>
      </c>
      <c r="F43" s="38">
        <f>SUM(F3+F16+F26+F32)</f>
        <v>47</v>
      </c>
      <c r="G43" s="10" t="s">
        <v>84</v>
      </c>
    </row>
  </sheetData>
  <mergeCells count="43">
    <mergeCell ref="B43:C43"/>
    <mergeCell ref="B41:C41"/>
    <mergeCell ref="B14:C14"/>
    <mergeCell ref="B15:C15"/>
    <mergeCell ref="B24:C24"/>
    <mergeCell ref="B25:C25"/>
    <mergeCell ref="B31:C31"/>
    <mergeCell ref="B33:C33"/>
    <mergeCell ref="B34:C34"/>
    <mergeCell ref="B37:C37"/>
    <mergeCell ref="B32:C32"/>
    <mergeCell ref="B35:C35"/>
    <mergeCell ref="B39:C39"/>
    <mergeCell ref="B40:C40"/>
    <mergeCell ref="B36:C36"/>
    <mergeCell ref="B18:C18"/>
    <mergeCell ref="B2:C2"/>
    <mergeCell ref="B3:C3"/>
    <mergeCell ref="B10:C10"/>
    <mergeCell ref="B16:C16"/>
    <mergeCell ref="B17:C17"/>
    <mergeCell ref="B4:C4"/>
    <mergeCell ref="B8:C8"/>
    <mergeCell ref="B6:C6"/>
    <mergeCell ref="B5:C5"/>
    <mergeCell ref="B11:C11"/>
    <mergeCell ref="B7:C7"/>
    <mergeCell ref="B9:C9"/>
    <mergeCell ref="B12:C12"/>
    <mergeCell ref="I7:J7"/>
    <mergeCell ref="B42:C42"/>
    <mergeCell ref="B20:C20"/>
    <mergeCell ref="B30:C30"/>
    <mergeCell ref="B28:C28"/>
    <mergeCell ref="B23:C23"/>
    <mergeCell ref="B29:C29"/>
    <mergeCell ref="B27:C27"/>
    <mergeCell ref="B26:C26"/>
    <mergeCell ref="B21:C21"/>
    <mergeCell ref="B22:C22"/>
    <mergeCell ref="B13:C13"/>
    <mergeCell ref="B19:C19"/>
    <mergeCell ref="B38:C38"/>
  </mergeCells>
  <phoneticPr fontId="1"/>
  <pageMargins left="0.7" right="0.7" top="0.75" bottom="0.75" header="0.3" footer="0.3"/>
  <pageSetup paperSize="9" orientation="portrait" horizontalDpi="1200" verticalDpi="1200" r:id="rId1"/>
  <ignoredErrors>
    <ignoredError sqref="F12 E4:F4 E28:F28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F476-724A-4DAE-8D66-8B0809F96B84}">
  <dimension ref="B1:M44"/>
  <sheetViews>
    <sheetView tabSelected="1" topLeftCell="B11" workbookViewId="0">
      <selection activeCell="J11" sqref="J11"/>
    </sheetView>
  </sheetViews>
  <sheetFormatPr defaultRowHeight="18"/>
  <cols>
    <col min="3" max="3" width="18.09765625" customWidth="1"/>
    <col min="9" max="9" width="19.09765625" bestFit="1" customWidth="1"/>
    <col min="10" max="10" width="11.3984375" bestFit="1" customWidth="1"/>
  </cols>
  <sheetData>
    <row r="1" spans="2:13" ht="18.600000000000001" thickBot="1"/>
    <row r="2" spans="2:13" ht="18.600000000000001" thickBot="1">
      <c r="B2" s="112" t="s">
        <v>62</v>
      </c>
      <c r="C2" s="148"/>
      <c r="D2" s="10" t="s">
        <v>9</v>
      </c>
      <c r="E2" s="10" t="s">
        <v>7</v>
      </c>
      <c r="F2" s="10" t="s">
        <v>8</v>
      </c>
      <c r="G2" s="39" t="s">
        <v>79</v>
      </c>
      <c r="I2" s="48" t="s">
        <v>74</v>
      </c>
      <c r="J2" s="51">
        <f ca="1">TODAY()</f>
        <v>46306</v>
      </c>
      <c r="K2" s="39" t="s">
        <v>83</v>
      </c>
    </row>
    <row r="3" spans="2:13" ht="18.600000000000001" thickBot="1">
      <c r="B3" s="110" t="s">
        <v>0</v>
      </c>
      <c r="C3" s="134"/>
      <c r="D3" s="10" t="s">
        <v>12</v>
      </c>
      <c r="E3" s="38">
        <f>SUM(E4:E7)</f>
        <v>8</v>
      </c>
      <c r="F3" s="38">
        <f>SUM(F4+F6+F12)</f>
        <v>7</v>
      </c>
      <c r="G3" s="39" t="s">
        <v>80</v>
      </c>
      <c r="I3" s="62" t="s">
        <v>76</v>
      </c>
      <c r="J3" s="50">
        <v>46305</v>
      </c>
      <c r="K3" s="46" t="str">
        <f ca="1">SUM($J3-J2)&amp; "日"</f>
        <v>-1日</v>
      </c>
    </row>
    <row r="4" spans="2:13" ht="18.600000000000001" thickBot="1">
      <c r="B4" s="114" t="s">
        <v>64</v>
      </c>
      <c r="C4" s="135"/>
      <c r="D4" s="5"/>
      <c r="E4" s="36">
        <v>2</v>
      </c>
      <c r="F4" s="36">
        <v>2</v>
      </c>
      <c r="G4" s="43" t="s">
        <v>84</v>
      </c>
      <c r="I4" s="67" t="s">
        <v>73</v>
      </c>
      <c r="J4" s="68">
        <v>46314</v>
      </c>
      <c r="K4" s="69" t="str">
        <f ca="1">SUM(J4-J2)&amp; "日"</f>
        <v>8日</v>
      </c>
    </row>
    <row r="5" spans="2:13">
      <c r="B5" s="149" t="s">
        <v>87</v>
      </c>
      <c r="C5" s="150"/>
      <c r="D5" s="6"/>
      <c r="E5" s="33">
        <v>2</v>
      </c>
      <c r="F5" s="33">
        <v>2</v>
      </c>
      <c r="G5" s="43" t="s">
        <v>84</v>
      </c>
      <c r="I5" s="4"/>
      <c r="J5" s="55"/>
      <c r="K5" s="56"/>
    </row>
    <row r="6" spans="2:13">
      <c r="B6" s="102" t="s">
        <v>65</v>
      </c>
      <c r="C6" s="136"/>
      <c r="D6" s="6"/>
      <c r="E6" s="33">
        <v>2</v>
      </c>
      <c r="F6" s="33">
        <v>5</v>
      </c>
      <c r="G6" s="43" t="s">
        <v>84</v>
      </c>
      <c r="I6" s="4"/>
      <c r="J6" s="55"/>
      <c r="K6" s="56"/>
    </row>
    <row r="7" spans="2:13">
      <c r="B7" s="123" t="s">
        <v>68</v>
      </c>
      <c r="C7" s="132"/>
      <c r="D7" s="8"/>
      <c r="E7" s="34">
        <f>SUM(E8+E9+E10+E11)</f>
        <v>2</v>
      </c>
      <c r="F7" s="34">
        <f>SUM(F8:F11)</f>
        <v>2</v>
      </c>
      <c r="G7" s="85" t="s">
        <v>80</v>
      </c>
      <c r="I7" s="133" t="s">
        <v>88</v>
      </c>
      <c r="J7" s="133"/>
      <c r="K7" s="133"/>
      <c r="L7" s="133"/>
      <c r="M7" s="133"/>
    </row>
    <row r="8" spans="2:13" ht="18.600000000000001" thickBot="1">
      <c r="B8" s="116" t="s">
        <v>89</v>
      </c>
      <c r="C8" s="138"/>
      <c r="D8" s="6"/>
      <c r="E8" s="33">
        <v>0.5</v>
      </c>
      <c r="F8" s="33">
        <v>0.5</v>
      </c>
      <c r="G8" s="85" t="s">
        <v>84</v>
      </c>
    </row>
    <row r="9" spans="2:13" ht="18.600000000000001" thickBot="1">
      <c r="B9" s="116" t="s">
        <v>90</v>
      </c>
      <c r="C9" s="138"/>
      <c r="D9" s="6"/>
      <c r="E9" s="33">
        <v>0.5</v>
      </c>
      <c r="F9" s="33">
        <v>0.5</v>
      </c>
      <c r="G9" s="85" t="s">
        <v>84</v>
      </c>
      <c r="I9" s="140" t="s">
        <v>103</v>
      </c>
      <c r="J9" s="141"/>
    </row>
    <row r="10" spans="2:13">
      <c r="B10" s="116" t="s">
        <v>91</v>
      </c>
      <c r="C10" s="138"/>
      <c r="D10" s="6"/>
      <c r="E10" s="33">
        <v>0.5</v>
      </c>
      <c r="F10" s="33">
        <v>0.5</v>
      </c>
      <c r="G10" s="85" t="s">
        <v>84</v>
      </c>
      <c r="I10" s="86" t="s">
        <v>99</v>
      </c>
      <c r="J10" s="89">
        <f>SUM(F3+E27+E28)</f>
        <v>15</v>
      </c>
    </row>
    <row r="11" spans="2:13">
      <c r="B11" s="119" t="s">
        <v>28</v>
      </c>
      <c r="C11" s="139"/>
      <c r="D11" s="8"/>
      <c r="E11" s="34">
        <v>0.5</v>
      </c>
      <c r="F11" s="33">
        <v>0.5</v>
      </c>
      <c r="G11" s="57" t="s">
        <v>80</v>
      </c>
      <c r="I11" s="87" t="s">
        <v>11</v>
      </c>
      <c r="J11" s="90">
        <f>SUM(E13)</f>
        <v>11</v>
      </c>
    </row>
    <row r="12" spans="2:13" ht="18.600000000000001" thickBot="1">
      <c r="B12" s="142" t="s">
        <v>104</v>
      </c>
      <c r="C12" s="143"/>
      <c r="D12" s="7"/>
      <c r="E12" s="35">
        <v>4</v>
      </c>
      <c r="F12" s="35"/>
      <c r="G12" s="57" t="s">
        <v>80</v>
      </c>
      <c r="I12" s="87" t="s">
        <v>10</v>
      </c>
      <c r="J12" s="90">
        <f>SUM(E20)</f>
        <v>3</v>
      </c>
    </row>
    <row r="13" spans="2:13" ht="18.600000000000001" thickBot="1">
      <c r="B13" s="110" t="s">
        <v>1</v>
      </c>
      <c r="C13" s="134"/>
      <c r="D13" s="10" t="s">
        <v>11</v>
      </c>
      <c r="E13" s="38">
        <f>SUM(E14:E17)</f>
        <v>11</v>
      </c>
      <c r="F13" s="38">
        <f>SUM(F14:F17)</f>
        <v>3</v>
      </c>
      <c r="G13" s="39" t="s">
        <v>80</v>
      </c>
      <c r="I13" s="88" t="s">
        <v>14</v>
      </c>
      <c r="J13" s="91">
        <f>SUM(E25)</f>
        <v>11</v>
      </c>
    </row>
    <row r="14" spans="2:13" ht="18.600000000000001" thickBot="1">
      <c r="B14" s="114" t="s">
        <v>64</v>
      </c>
      <c r="C14" s="135"/>
      <c r="D14" s="9"/>
      <c r="E14" s="37">
        <v>2</v>
      </c>
      <c r="F14" s="37">
        <v>1</v>
      </c>
      <c r="G14" s="43" t="s">
        <v>84</v>
      </c>
      <c r="I14" s="93" t="s">
        <v>101</v>
      </c>
      <c r="J14" s="83">
        <f>SUM(J10:J13)</f>
        <v>40</v>
      </c>
    </row>
    <row r="15" spans="2:13">
      <c r="B15" s="102" t="s">
        <v>94</v>
      </c>
      <c r="C15" s="136"/>
      <c r="D15" s="9"/>
      <c r="E15" s="37">
        <v>4</v>
      </c>
      <c r="F15" s="37"/>
      <c r="G15" s="43" t="s">
        <v>80</v>
      </c>
    </row>
    <row r="16" spans="2:13">
      <c r="B16" s="102" t="s">
        <v>65</v>
      </c>
      <c r="C16" s="136"/>
      <c r="D16" s="6"/>
      <c r="E16" s="33">
        <v>3</v>
      </c>
      <c r="F16" s="33">
        <v>2</v>
      </c>
      <c r="G16" s="43" t="s">
        <v>84</v>
      </c>
    </row>
    <row r="17" spans="2:7">
      <c r="B17" s="106" t="s">
        <v>69</v>
      </c>
      <c r="C17" s="137"/>
      <c r="D17" s="6"/>
      <c r="E17" s="33">
        <v>2</v>
      </c>
      <c r="F17" s="33"/>
      <c r="G17" s="85" t="s">
        <v>80</v>
      </c>
    </row>
    <row r="18" spans="2:7">
      <c r="B18" s="104" t="s">
        <v>89</v>
      </c>
      <c r="C18" s="151"/>
      <c r="D18" s="6"/>
      <c r="E18" s="33">
        <v>1</v>
      </c>
      <c r="F18" s="33"/>
      <c r="G18" s="85" t="s">
        <v>80</v>
      </c>
    </row>
    <row r="19" spans="2:7" ht="18.600000000000001" thickBot="1">
      <c r="B19" s="144" t="s">
        <v>47</v>
      </c>
      <c r="C19" s="145"/>
      <c r="D19" s="8"/>
      <c r="E19" s="34">
        <v>1</v>
      </c>
      <c r="F19" s="34"/>
      <c r="G19" s="57" t="s">
        <v>80</v>
      </c>
    </row>
    <row r="20" spans="2:7" ht="18.600000000000001" thickBot="1">
      <c r="B20" s="110" t="s">
        <v>2</v>
      </c>
      <c r="C20" s="134"/>
      <c r="D20" s="10" t="s">
        <v>10</v>
      </c>
      <c r="E20" s="38">
        <f>SUM(E21:E22)</f>
        <v>3</v>
      </c>
      <c r="F20" s="38">
        <f>SUM(F21:F24)</f>
        <v>6</v>
      </c>
      <c r="G20" s="39" t="s">
        <v>80</v>
      </c>
    </row>
    <row r="21" spans="2:7">
      <c r="B21" s="106" t="s">
        <v>95</v>
      </c>
      <c r="C21" s="137"/>
      <c r="D21" s="6"/>
      <c r="E21" s="33">
        <v>1</v>
      </c>
      <c r="F21" s="33"/>
      <c r="G21" s="85" t="s">
        <v>80</v>
      </c>
    </row>
    <row r="22" spans="2:7">
      <c r="B22" s="144" t="s">
        <v>33</v>
      </c>
      <c r="C22" s="145"/>
      <c r="D22" s="8"/>
      <c r="E22" s="34">
        <v>2</v>
      </c>
      <c r="F22" s="34"/>
      <c r="G22" s="57" t="s">
        <v>80</v>
      </c>
    </row>
    <row r="23" spans="2:7">
      <c r="B23" s="123" t="s">
        <v>6</v>
      </c>
      <c r="C23" s="124"/>
      <c r="D23" s="8"/>
      <c r="E23" s="34">
        <v>5</v>
      </c>
      <c r="F23" s="34">
        <v>5</v>
      </c>
      <c r="G23" s="57" t="s">
        <v>84</v>
      </c>
    </row>
    <row r="24" spans="2:7" ht="18.600000000000001" thickBot="1">
      <c r="B24" s="146" t="s">
        <v>87</v>
      </c>
      <c r="C24" s="147"/>
      <c r="D24" s="7"/>
      <c r="E24" s="35">
        <v>1</v>
      </c>
      <c r="F24" s="35">
        <v>1</v>
      </c>
      <c r="G24" s="57" t="s">
        <v>80</v>
      </c>
    </row>
    <row r="25" spans="2:7" ht="18.600000000000001" thickBot="1">
      <c r="B25" s="110" t="s">
        <v>59</v>
      </c>
      <c r="C25" s="134"/>
      <c r="D25" s="10" t="s">
        <v>14</v>
      </c>
      <c r="E25" s="38">
        <f>SUM(E26+E27+E29+E39)</f>
        <v>11</v>
      </c>
      <c r="F25" s="38">
        <f>SUM(F26+F29+F39)</f>
        <v>0</v>
      </c>
      <c r="G25" s="39" t="s">
        <v>80</v>
      </c>
    </row>
    <row r="26" spans="2:7">
      <c r="B26" s="114" t="s">
        <v>63</v>
      </c>
      <c r="C26" s="135"/>
      <c r="D26" s="9"/>
      <c r="E26" s="37">
        <v>5</v>
      </c>
      <c r="F26" s="37"/>
      <c r="G26" s="85" t="s">
        <v>80</v>
      </c>
    </row>
    <row r="27" spans="2:7">
      <c r="B27" s="102" t="s">
        <v>96</v>
      </c>
      <c r="C27" s="136"/>
      <c r="D27" s="6" t="s">
        <v>97</v>
      </c>
      <c r="E27" s="37">
        <v>2</v>
      </c>
      <c r="F27" s="37"/>
      <c r="G27" s="85" t="s">
        <v>80</v>
      </c>
    </row>
    <row r="28" spans="2:7">
      <c r="B28" s="125" t="s">
        <v>4</v>
      </c>
      <c r="C28" s="129"/>
      <c r="D28" s="6" t="s">
        <v>97</v>
      </c>
      <c r="E28" s="33">
        <f>SUM(E29:E33)</f>
        <v>6</v>
      </c>
      <c r="F28" s="33"/>
      <c r="G28" s="85" t="s">
        <v>80</v>
      </c>
    </row>
    <row r="29" spans="2:7">
      <c r="B29" s="102" t="s">
        <v>66</v>
      </c>
      <c r="C29" s="136"/>
      <c r="D29" s="6"/>
      <c r="E29" s="33">
        <v>2</v>
      </c>
      <c r="F29" s="33"/>
      <c r="G29" s="85" t="s">
        <v>80</v>
      </c>
    </row>
    <row r="30" spans="2:7">
      <c r="B30" s="102" t="s">
        <v>98</v>
      </c>
      <c r="C30" s="136"/>
      <c r="D30" s="6"/>
      <c r="E30" s="33">
        <v>2</v>
      </c>
      <c r="F30" s="33">
        <v>2</v>
      </c>
      <c r="G30" s="85" t="s">
        <v>84</v>
      </c>
    </row>
    <row r="31" spans="2:7">
      <c r="B31" s="102" t="s">
        <v>67</v>
      </c>
      <c r="C31" s="103"/>
      <c r="D31" s="6"/>
      <c r="E31" s="33"/>
      <c r="F31" s="33"/>
      <c r="G31" s="85"/>
    </row>
    <row r="32" spans="2:7">
      <c r="B32" s="164" t="s">
        <v>108</v>
      </c>
      <c r="C32" s="165"/>
      <c r="D32" s="6"/>
      <c r="E32" s="33"/>
      <c r="F32" s="33"/>
      <c r="G32" s="85"/>
    </row>
    <row r="33" spans="2:7">
      <c r="B33" s="164" t="s">
        <v>106</v>
      </c>
      <c r="C33" s="165"/>
      <c r="D33" s="6"/>
      <c r="E33" s="33">
        <f>SUM(E34)</f>
        <v>2</v>
      </c>
      <c r="F33" s="33"/>
      <c r="G33" s="85" t="s">
        <v>80</v>
      </c>
    </row>
    <row r="34" spans="2:7">
      <c r="B34" s="116" t="s">
        <v>107</v>
      </c>
      <c r="C34" s="117"/>
      <c r="D34" s="6"/>
      <c r="E34" s="33">
        <v>2</v>
      </c>
      <c r="F34" s="33"/>
      <c r="G34" s="85" t="s">
        <v>80</v>
      </c>
    </row>
    <row r="35" spans="2:7">
      <c r="B35" s="125" t="s">
        <v>5</v>
      </c>
      <c r="C35" s="129"/>
      <c r="D35" s="6"/>
      <c r="E35" s="33"/>
      <c r="F35" s="33"/>
      <c r="G35" s="85"/>
    </row>
    <row r="36" spans="2:7">
      <c r="B36" s="130" t="s">
        <v>66</v>
      </c>
      <c r="C36" s="131"/>
      <c r="D36" s="6"/>
      <c r="E36" s="33"/>
      <c r="F36" s="33"/>
      <c r="G36" s="85"/>
    </row>
    <row r="37" spans="2:7">
      <c r="B37" s="102" t="s">
        <v>98</v>
      </c>
      <c r="C37" s="136"/>
      <c r="D37" s="6"/>
      <c r="E37" s="33"/>
      <c r="F37" s="33"/>
      <c r="G37" s="85"/>
    </row>
    <row r="38" spans="2:7">
      <c r="B38" s="125" t="s">
        <v>5</v>
      </c>
      <c r="C38" s="129"/>
      <c r="D38" s="6"/>
      <c r="E38" s="33"/>
      <c r="F38" s="33"/>
      <c r="G38" s="85" t="s">
        <v>80</v>
      </c>
    </row>
    <row r="39" spans="2:7">
      <c r="B39" s="130" t="s">
        <v>66</v>
      </c>
      <c r="C39" s="131"/>
      <c r="D39" s="8"/>
      <c r="E39" s="34">
        <v>2</v>
      </c>
      <c r="F39" s="34"/>
      <c r="G39" s="57" t="s">
        <v>80</v>
      </c>
    </row>
    <row r="40" spans="2:7">
      <c r="B40" s="102" t="s">
        <v>98</v>
      </c>
      <c r="C40" s="136"/>
      <c r="D40" s="8"/>
      <c r="E40" s="34"/>
      <c r="F40" s="34"/>
      <c r="G40" s="57" t="s">
        <v>80</v>
      </c>
    </row>
    <row r="41" spans="2:7">
      <c r="B41" s="125" t="s">
        <v>100</v>
      </c>
      <c r="C41" s="129"/>
      <c r="D41" s="6"/>
      <c r="E41" s="33"/>
      <c r="F41" s="33"/>
      <c r="G41" s="57" t="s">
        <v>80</v>
      </c>
    </row>
    <row r="42" spans="2:7">
      <c r="B42" s="130" t="s">
        <v>66</v>
      </c>
      <c r="C42" s="131"/>
      <c r="D42" s="6"/>
      <c r="E42" s="33">
        <v>2</v>
      </c>
      <c r="F42" s="33"/>
      <c r="G42" s="57" t="s">
        <v>80</v>
      </c>
    </row>
    <row r="43" spans="2:7" ht="18.600000000000001" thickBot="1">
      <c r="B43" s="123" t="s">
        <v>98</v>
      </c>
      <c r="C43" s="132"/>
      <c r="D43" s="8"/>
      <c r="E43" s="34">
        <v>2</v>
      </c>
      <c r="F43" s="34"/>
      <c r="G43" s="57" t="s">
        <v>80</v>
      </c>
    </row>
    <row r="44" spans="2:7" ht="18.600000000000001" thickBot="1">
      <c r="B44" s="166" t="s">
        <v>34</v>
      </c>
      <c r="C44" s="167"/>
      <c r="D44" s="10"/>
      <c r="E44" s="38">
        <f>SUM(E3+E13+E20+E25)</f>
        <v>33</v>
      </c>
      <c r="F44" s="38">
        <f>SUM(F3+F13+F20+F25)</f>
        <v>16</v>
      </c>
      <c r="G44" s="92"/>
    </row>
  </sheetData>
  <mergeCells count="45">
    <mergeCell ref="B19:C19"/>
    <mergeCell ref="B2:C2"/>
    <mergeCell ref="B3:C3"/>
    <mergeCell ref="B4:C4"/>
    <mergeCell ref="B7:C7"/>
    <mergeCell ref="B6:C6"/>
    <mergeCell ref="B5:C5"/>
    <mergeCell ref="B18:C18"/>
    <mergeCell ref="B44:C44"/>
    <mergeCell ref="B26:C26"/>
    <mergeCell ref="B28:C28"/>
    <mergeCell ref="B29:C29"/>
    <mergeCell ref="B38:C38"/>
    <mergeCell ref="B27:C27"/>
    <mergeCell ref="B40:C40"/>
    <mergeCell ref="B31:C31"/>
    <mergeCell ref="B32:C32"/>
    <mergeCell ref="B35:C35"/>
    <mergeCell ref="B36:C36"/>
    <mergeCell ref="B37:C37"/>
    <mergeCell ref="B22:C22"/>
    <mergeCell ref="B25:C25"/>
    <mergeCell ref="B20:C20"/>
    <mergeCell ref="B39:C39"/>
    <mergeCell ref="B30:C30"/>
    <mergeCell ref="B33:C33"/>
    <mergeCell ref="B34:C34"/>
    <mergeCell ref="B23:C23"/>
    <mergeCell ref="B24:C24"/>
    <mergeCell ref="B41:C41"/>
    <mergeCell ref="B42:C42"/>
    <mergeCell ref="B43:C43"/>
    <mergeCell ref="I7:M7"/>
    <mergeCell ref="B13:C13"/>
    <mergeCell ref="B14:C14"/>
    <mergeCell ref="B16:C16"/>
    <mergeCell ref="B17:C17"/>
    <mergeCell ref="B8:C8"/>
    <mergeCell ref="B9:C9"/>
    <mergeCell ref="B10:C10"/>
    <mergeCell ref="B11:C11"/>
    <mergeCell ref="B15:C15"/>
    <mergeCell ref="I9:J9"/>
    <mergeCell ref="B12:C12"/>
    <mergeCell ref="B21:C21"/>
  </mergeCells>
  <phoneticPr fontId="1"/>
  <pageMargins left="0.7" right="0.7" top="0.75" bottom="0.75" header="0.3" footer="0.3"/>
  <ignoredErrors>
    <ignoredError sqref="E13 E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0DA5A-1B69-4377-A99E-364B8197EABC}">
  <dimension ref="B1:L21"/>
  <sheetViews>
    <sheetView workbookViewId="0">
      <selection activeCell="B20" sqref="B20:C20"/>
    </sheetView>
  </sheetViews>
  <sheetFormatPr defaultRowHeight="18"/>
  <cols>
    <col min="8" max="8" width="17.19921875" bestFit="1" customWidth="1"/>
    <col min="9" max="9" width="11.3984375" bestFit="1" customWidth="1"/>
    <col min="10" max="10" width="17.19921875" bestFit="1" customWidth="1"/>
    <col min="11" max="11" width="11.3984375" bestFit="1" customWidth="1"/>
    <col min="12" max="12" width="7.09765625" bestFit="1" customWidth="1"/>
  </cols>
  <sheetData>
    <row r="1" spans="2:12" ht="18.600000000000001" thickBot="1"/>
    <row r="2" spans="2:12" ht="18.600000000000001" thickBot="1">
      <c r="B2" s="152" t="s">
        <v>70</v>
      </c>
      <c r="C2" s="153"/>
      <c r="D2" s="10" t="s">
        <v>9</v>
      </c>
      <c r="E2" s="10" t="s">
        <v>7</v>
      </c>
      <c r="F2" s="39" t="s">
        <v>8</v>
      </c>
      <c r="G2" s="39" t="s">
        <v>79</v>
      </c>
    </row>
    <row r="3" spans="2:12" ht="18.600000000000001" thickBot="1">
      <c r="B3" s="154" t="s">
        <v>0</v>
      </c>
      <c r="C3" s="155"/>
      <c r="D3" s="10" t="s">
        <v>12</v>
      </c>
      <c r="E3" s="38">
        <f>SUM(E4)</f>
        <v>3</v>
      </c>
      <c r="F3" s="60">
        <f>SUM(F4)</f>
        <v>0</v>
      </c>
      <c r="G3" s="39" t="s">
        <v>80</v>
      </c>
      <c r="J3" s="48" t="s">
        <v>74</v>
      </c>
      <c r="K3" s="51">
        <f ca="1">TODAY()</f>
        <v>46306</v>
      </c>
      <c r="L3" s="39" t="s">
        <v>83</v>
      </c>
    </row>
    <row r="4" spans="2:12">
      <c r="B4" s="156" t="s">
        <v>71</v>
      </c>
      <c r="C4" s="157"/>
      <c r="D4" s="77"/>
      <c r="E4" s="78">
        <v>3</v>
      </c>
      <c r="F4" s="76">
        <f>SUM(F6)</f>
        <v>0</v>
      </c>
      <c r="G4" s="79" t="s">
        <v>80</v>
      </c>
      <c r="J4" s="52" t="s">
        <v>77</v>
      </c>
      <c r="K4" s="49">
        <v>46310</v>
      </c>
      <c r="L4" s="45" t="str">
        <f ca="1">SUM($L4-I1)&amp; "日"</f>
        <v>15日</v>
      </c>
    </row>
    <row r="5" spans="2:12" ht="18.600000000000001" thickBot="1">
      <c r="B5" s="123" t="s">
        <v>67</v>
      </c>
      <c r="C5" s="124"/>
      <c r="D5" s="8"/>
      <c r="E5" s="34">
        <v>3</v>
      </c>
      <c r="F5" s="66"/>
      <c r="G5" s="57"/>
      <c r="J5" s="53" t="s">
        <v>78</v>
      </c>
      <c r="K5" s="49">
        <v>46313</v>
      </c>
      <c r="L5" s="45" t="str">
        <f ca="1">SUM($L5-I1)&amp; "日"</f>
        <v>18日</v>
      </c>
    </row>
    <row r="6" spans="2:12" ht="18.600000000000001" thickBot="1">
      <c r="B6" s="154" t="s">
        <v>1</v>
      </c>
      <c r="C6" s="155"/>
      <c r="D6" s="10" t="s">
        <v>11</v>
      </c>
      <c r="E6" s="38">
        <f>SUM(E7)</f>
        <v>3</v>
      </c>
      <c r="F6" s="60">
        <f t="shared" ref="F6" si="0">SUM(F7)</f>
        <v>0</v>
      </c>
      <c r="G6" s="39" t="s">
        <v>80</v>
      </c>
      <c r="J6" s="54" t="s">
        <v>73</v>
      </c>
      <c r="K6" s="50">
        <v>46314</v>
      </c>
      <c r="L6" s="46" t="str">
        <f ca="1">SUM(K6-K3)&amp; "日"</f>
        <v>8日</v>
      </c>
    </row>
    <row r="7" spans="2:12">
      <c r="B7" s="160" t="s">
        <v>72</v>
      </c>
      <c r="C7" s="161"/>
      <c r="D7" s="61"/>
      <c r="E7" s="63">
        <v>3</v>
      </c>
      <c r="F7" s="76">
        <f>SUM(F9)</f>
        <v>0</v>
      </c>
      <c r="G7" s="64" t="s">
        <v>80</v>
      </c>
    </row>
    <row r="8" spans="2:12" ht="18.600000000000001" thickBot="1">
      <c r="B8" s="123" t="s">
        <v>67</v>
      </c>
      <c r="C8" s="124"/>
      <c r="D8" s="8"/>
      <c r="E8" s="34">
        <v>3</v>
      </c>
      <c r="F8" s="66"/>
      <c r="G8" s="57"/>
      <c r="J8" s="4"/>
      <c r="K8" s="55"/>
      <c r="L8" s="56"/>
    </row>
    <row r="9" spans="2:12" ht="18.600000000000001" thickBot="1">
      <c r="B9" s="154" t="s">
        <v>2</v>
      </c>
      <c r="C9" s="155"/>
      <c r="D9" s="10" t="s">
        <v>10</v>
      </c>
      <c r="E9" s="38">
        <f>SUM(E10:E11)</f>
        <v>5</v>
      </c>
      <c r="F9" s="60">
        <f>SUM(F10:F11)</f>
        <v>0</v>
      </c>
      <c r="G9" s="39" t="s">
        <v>80</v>
      </c>
    </row>
    <row r="10" spans="2:12">
      <c r="B10" s="108" t="s">
        <v>71</v>
      </c>
      <c r="C10" s="158"/>
      <c r="D10" s="9"/>
      <c r="E10" s="37">
        <v>3</v>
      </c>
      <c r="F10" s="47"/>
      <c r="G10" s="43" t="s">
        <v>80</v>
      </c>
    </row>
    <row r="11" spans="2:12" ht="18.600000000000001" thickBot="1">
      <c r="B11" s="100" t="s">
        <v>67</v>
      </c>
      <c r="C11" s="159"/>
      <c r="D11" s="8"/>
      <c r="E11" s="34">
        <v>2</v>
      </c>
      <c r="F11" s="66"/>
      <c r="G11" s="57" t="s">
        <v>80</v>
      </c>
    </row>
    <row r="12" spans="2:12" ht="18.600000000000001" thickBot="1">
      <c r="B12" s="154" t="s">
        <v>59</v>
      </c>
      <c r="C12" s="155"/>
      <c r="D12" s="10" t="s">
        <v>14</v>
      </c>
      <c r="E12" s="38">
        <f>SUM(E13)</f>
        <v>2</v>
      </c>
      <c r="F12" s="60">
        <f>SUM(F14+F17)</f>
        <v>0</v>
      </c>
      <c r="G12" s="39" t="s">
        <v>80</v>
      </c>
    </row>
    <row r="13" spans="2:12" ht="18.600000000000001" thickBot="1">
      <c r="B13" s="160" t="s">
        <v>71</v>
      </c>
      <c r="C13" s="161"/>
      <c r="D13" s="61"/>
      <c r="E13" s="63">
        <v>2</v>
      </c>
      <c r="F13" s="65"/>
      <c r="G13" s="64" t="s">
        <v>80</v>
      </c>
    </row>
    <row r="14" spans="2:12" ht="18.600000000000001" thickBot="1">
      <c r="B14" s="154" t="s">
        <v>4</v>
      </c>
      <c r="C14" s="155"/>
      <c r="D14" s="10"/>
      <c r="E14" s="38">
        <f>SUM(E15:E16)</f>
        <v>2</v>
      </c>
      <c r="F14" s="60">
        <f>SUM(F15:F16)</f>
        <v>0</v>
      </c>
      <c r="G14" s="39" t="s">
        <v>80</v>
      </c>
    </row>
    <row r="15" spans="2:12">
      <c r="B15" s="108" t="s">
        <v>67</v>
      </c>
      <c r="C15" s="158"/>
      <c r="D15" s="9"/>
      <c r="E15" s="37">
        <v>1</v>
      </c>
      <c r="F15" s="47"/>
      <c r="G15" s="43" t="s">
        <v>80</v>
      </c>
    </row>
    <row r="16" spans="2:12" ht="18.600000000000001" thickBot="1">
      <c r="B16" s="100" t="s">
        <v>71</v>
      </c>
      <c r="C16" s="159"/>
      <c r="D16" s="8"/>
      <c r="E16" s="34">
        <v>1</v>
      </c>
      <c r="F16" s="66"/>
      <c r="G16" s="57" t="s">
        <v>80</v>
      </c>
    </row>
    <row r="17" spans="2:7" ht="18.600000000000001" thickBot="1">
      <c r="B17" s="154" t="s">
        <v>5</v>
      </c>
      <c r="C17" s="155"/>
      <c r="D17" s="10"/>
      <c r="E17" s="38">
        <f>SUM(E18:E19)</f>
        <v>2</v>
      </c>
      <c r="F17" s="60">
        <f>SUM(F18:F19)</f>
        <v>0</v>
      </c>
      <c r="G17" s="39" t="s">
        <v>80</v>
      </c>
    </row>
    <row r="18" spans="2:7">
      <c r="B18" s="108" t="s">
        <v>67</v>
      </c>
      <c r="C18" s="158"/>
      <c r="D18" s="9"/>
      <c r="E18" s="37">
        <v>1</v>
      </c>
      <c r="F18" s="47"/>
      <c r="G18" s="43" t="s">
        <v>80</v>
      </c>
    </row>
    <row r="19" spans="2:7" ht="18.600000000000001" thickBot="1">
      <c r="B19" s="162" t="s">
        <v>71</v>
      </c>
      <c r="C19" s="163"/>
      <c r="D19" s="7"/>
      <c r="E19" s="35">
        <v>1</v>
      </c>
      <c r="F19" s="46"/>
      <c r="G19" s="57" t="s">
        <v>80</v>
      </c>
    </row>
    <row r="20" spans="2:7" ht="18.600000000000001" thickBot="1">
      <c r="B20" s="169" t="s">
        <v>34</v>
      </c>
      <c r="C20" s="170"/>
      <c r="D20" s="10"/>
      <c r="E20" s="38">
        <f>SUM(E3+E6+E9+E12+E14+E17)</f>
        <v>17</v>
      </c>
      <c r="F20" s="38">
        <f>SUM(F3+F6+F9+F12+F14+F17)</f>
        <v>0</v>
      </c>
      <c r="G20" s="10"/>
    </row>
    <row r="21" spans="2:7">
      <c r="G21" s="4"/>
    </row>
  </sheetData>
  <mergeCells count="19">
    <mergeCell ref="B19:C19"/>
    <mergeCell ref="B20:C20"/>
    <mergeCell ref="B13:C13"/>
    <mergeCell ref="B14:C14"/>
    <mergeCell ref="B15:C15"/>
    <mergeCell ref="B16:C16"/>
    <mergeCell ref="B17:C17"/>
    <mergeCell ref="B12:C12"/>
    <mergeCell ref="B9:C9"/>
    <mergeCell ref="B6:C6"/>
    <mergeCell ref="B7:C7"/>
    <mergeCell ref="B18:C18"/>
    <mergeCell ref="B2:C2"/>
    <mergeCell ref="B3:C3"/>
    <mergeCell ref="B4:C4"/>
    <mergeCell ref="B10:C10"/>
    <mergeCell ref="B11:C11"/>
    <mergeCell ref="B5:C5"/>
    <mergeCell ref="B8:C8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4141-FE5F-4FCB-9F3D-2486D26F1F00}">
  <dimension ref="B1:K12"/>
  <sheetViews>
    <sheetView workbookViewId="0">
      <selection activeCell="K8" sqref="K8"/>
    </sheetView>
  </sheetViews>
  <sheetFormatPr defaultRowHeight="18"/>
  <sheetData>
    <row r="1" spans="2:11" ht="36" thickBot="1">
      <c r="C1" s="97" t="s">
        <v>22</v>
      </c>
      <c r="D1" s="97"/>
      <c r="E1" s="97"/>
      <c r="F1" s="97"/>
      <c r="G1" s="97"/>
    </row>
    <row r="2" spans="2:11" ht="18.600000000000001" thickBot="1">
      <c r="B2" s="27" t="s">
        <v>15</v>
      </c>
      <c r="C2" s="28" t="s">
        <v>16</v>
      </c>
      <c r="D2" s="28" t="s">
        <v>17</v>
      </c>
      <c r="E2" s="28" t="s">
        <v>18</v>
      </c>
      <c r="F2" s="28" t="s">
        <v>19</v>
      </c>
      <c r="G2" s="28" t="s">
        <v>20</v>
      </c>
      <c r="H2" s="29" t="s">
        <v>21</v>
      </c>
      <c r="J2" t="s">
        <v>36</v>
      </c>
    </row>
    <row r="3" spans="2:11">
      <c r="B3" s="24"/>
      <c r="D3" s="25">
        <v>46266</v>
      </c>
      <c r="E3" s="25">
        <f>SUM(D3)+1</f>
        <v>46267</v>
      </c>
      <c r="F3" s="25">
        <f t="shared" ref="F3:H3" si="0">SUM(E3)+1</f>
        <v>46268</v>
      </c>
      <c r="G3" s="25">
        <f t="shared" si="0"/>
        <v>46269</v>
      </c>
      <c r="H3" s="26">
        <f t="shared" si="0"/>
        <v>46270</v>
      </c>
      <c r="J3" s="14"/>
      <c r="K3" t="s">
        <v>23</v>
      </c>
    </row>
    <row r="4" spans="2:11">
      <c r="B4" s="18">
        <f>SUM(H3)+1</f>
        <v>46271</v>
      </c>
      <c r="C4" s="17">
        <f>SUM(B4)+1</f>
        <v>46272</v>
      </c>
      <c r="D4" s="17">
        <f t="shared" ref="D4:H4" si="1">SUM(C4)+1</f>
        <v>46273</v>
      </c>
      <c r="E4" s="40">
        <f t="shared" si="1"/>
        <v>46274</v>
      </c>
      <c r="F4" s="40">
        <f t="shared" si="1"/>
        <v>46275</v>
      </c>
      <c r="G4" s="40">
        <f t="shared" si="1"/>
        <v>46276</v>
      </c>
      <c r="H4" s="41">
        <f t="shared" si="1"/>
        <v>46277</v>
      </c>
      <c r="J4" s="15"/>
      <c r="K4" t="s">
        <v>24</v>
      </c>
    </row>
    <row r="5" spans="2:11">
      <c r="B5" s="42">
        <f>SUM(H4)+1</f>
        <v>46278</v>
      </c>
      <c r="C5" s="40">
        <f>SUM(B5)+1</f>
        <v>46279</v>
      </c>
      <c r="D5" s="40">
        <f t="shared" ref="D5:H5" si="2">SUM(C5)+1</f>
        <v>46280</v>
      </c>
      <c r="E5" s="40">
        <f t="shared" si="2"/>
        <v>46281</v>
      </c>
      <c r="F5" s="40">
        <f t="shared" si="2"/>
        <v>46282</v>
      </c>
      <c r="G5" s="40">
        <f t="shared" si="2"/>
        <v>46283</v>
      </c>
      <c r="H5" s="41">
        <f t="shared" si="2"/>
        <v>46284</v>
      </c>
      <c r="J5" s="16"/>
      <c r="K5" t="s">
        <v>25</v>
      </c>
    </row>
    <row r="6" spans="2:11">
      <c r="B6" s="42">
        <f>SUM(H5)+1</f>
        <v>46285</v>
      </c>
      <c r="C6" s="40">
        <f>SUM(B6)+1</f>
        <v>46286</v>
      </c>
      <c r="D6" s="40">
        <f t="shared" ref="D6:H6" si="3">SUM(C6)+1</f>
        <v>46287</v>
      </c>
      <c r="E6" s="40">
        <f t="shared" si="3"/>
        <v>46288</v>
      </c>
      <c r="F6" s="40">
        <f t="shared" si="3"/>
        <v>46289</v>
      </c>
      <c r="G6" s="40">
        <f t="shared" si="3"/>
        <v>46290</v>
      </c>
      <c r="H6" s="41">
        <f t="shared" si="3"/>
        <v>46291</v>
      </c>
      <c r="J6" s="23"/>
      <c r="K6" t="s">
        <v>26</v>
      </c>
    </row>
    <row r="7" spans="2:11" ht="18.600000000000001" thickBot="1">
      <c r="B7" s="58">
        <f>SUM(H6)+1</f>
        <v>46292</v>
      </c>
      <c r="C7" s="59">
        <f>SUM(B7)+1</f>
        <v>46293</v>
      </c>
      <c r="D7" s="59">
        <f t="shared" ref="D7:E7" si="4">SUM(C7)+1</f>
        <v>46294</v>
      </c>
      <c r="E7" s="59">
        <f t="shared" si="4"/>
        <v>46295</v>
      </c>
      <c r="F7" s="1"/>
      <c r="G7" s="1"/>
      <c r="H7" s="2"/>
      <c r="J7" s="96"/>
      <c r="K7" t="s">
        <v>105</v>
      </c>
    </row>
    <row r="8" spans="2:11">
      <c r="B8" s="24"/>
      <c r="C8" s="3"/>
      <c r="D8" s="3"/>
      <c r="E8" s="3"/>
      <c r="F8" s="94">
        <f>SUM(E7)+1</f>
        <v>46296</v>
      </c>
      <c r="G8" s="94">
        <f>SUM(F8)+1</f>
        <v>46297</v>
      </c>
      <c r="H8" s="95">
        <f>SUM(G8)+1</f>
        <v>46298</v>
      </c>
    </row>
    <row r="9" spans="2:11">
      <c r="B9" s="42">
        <f>SUM(H8)+1</f>
        <v>46299</v>
      </c>
      <c r="C9" s="40">
        <f>SUM(B9)+1</f>
        <v>46300</v>
      </c>
      <c r="D9" s="40">
        <f t="shared" ref="D9:H9" si="5">SUM(C9)+1</f>
        <v>46301</v>
      </c>
      <c r="E9" s="40">
        <f t="shared" si="5"/>
        <v>46302</v>
      </c>
      <c r="F9" s="40">
        <f t="shared" si="5"/>
        <v>46303</v>
      </c>
      <c r="G9" s="40">
        <f t="shared" si="5"/>
        <v>46304</v>
      </c>
      <c r="H9" s="21">
        <f t="shared" si="5"/>
        <v>46305</v>
      </c>
    </row>
    <row r="10" spans="2:11">
      <c r="B10" s="19">
        <f t="shared" ref="B10:B12" si="6">SUM(H9)+1</f>
        <v>46306</v>
      </c>
      <c r="C10" s="20">
        <f>SUM(B10)+1</f>
        <v>46307</v>
      </c>
      <c r="D10" s="22">
        <f t="shared" ref="D10:G10" si="7">SUM(C10)+1</f>
        <v>46308</v>
      </c>
      <c r="E10" s="22">
        <f t="shared" si="7"/>
        <v>46309</v>
      </c>
      <c r="F10" s="22">
        <f t="shared" si="7"/>
        <v>46310</v>
      </c>
      <c r="G10" s="22">
        <f t="shared" si="7"/>
        <v>46311</v>
      </c>
      <c r="H10" s="80">
        <f>SUM(G10)+1</f>
        <v>46312</v>
      </c>
    </row>
    <row r="11" spans="2:11">
      <c r="B11" s="44">
        <f t="shared" si="6"/>
        <v>46313</v>
      </c>
      <c r="C11" s="32">
        <f>SUM(B11)+1</f>
        <v>46314</v>
      </c>
      <c r="D11" s="11">
        <f t="shared" ref="D11:F11" si="8">SUM(C11)+1</f>
        <v>46315</v>
      </c>
      <c r="E11" s="11">
        <f t="shared" si="8"/>
        <v>46316</v>
      </c>
      <c r="F11" s="11">
        <f t="shared" si="8"/>
        <v>46317</v>
      </c>
      <c r="G11" s="11">
        <f t="shared" ref="G11" si="9">SUM(F11)+1</f>
        <v>46318</v>
      </c>
      <c r="H11" s="30">
        <f>SUM(G11)+1</f>
        <v>46319</v>
      </c>
    </row>
    <row r="12" spans="2:11" ht="18.600000000000001" thickBot="1">
      <c r="B12" s="31">
        <f t="shared" si="6"/>
        <v>46320</v>
      </c>
      <c r="C12" s="12">
        <f>SUM(B12)+1</f>
        <v>46321</v>
      </c>
      <c r="D12" s="12">
        <f t="shared" ref="D12:H12" si="10">SUM(C12)+1</f>
        <v>46322</v>
      </c>
      <c r="E12" s="12">
        <f t="shared" si="10"/>
        <v>46323</v>
      </c>
      <c r="F12" s="12">
        <f t="shared" si="10"/>
        <v>46324</v>
      </c>
      <c r="G12" s="12">
        <f t="shared" si="10"/>
        <v>46325</v>
      </c>
      <c r="H12" s="13">
        <f t="shared" si="10"/>
        <v>46326</v>
      </c>
    </row>
  </sheetData>
  <mergeCells count="1">
    <mergeCell ref="C1:G1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B42D-C760-44A9-BC69-9B00588EFF82}">
  <dimension ref="B2:B14"/>
  <sheetViews>
    <sheetView workbookViewId="0">
      <selection activeCell="D13" sqref="D13"/>
    </sheetView>
  </sheetViews>
  <sheetFormatPr defaultRowHeight="18"/>
  <sheetData>
    <row r="2" spans="2:2">
      <c r="B2" t="s">
        <v>0</v>
      </c>
    </row>
    <row r="3" spans="2:2">
      <c r="B3" t="s">
        <v>27</v>
      </c>
    </row>
    <row r="4" spans="2:2">
      <c r="B4" t="s">
        <v>28</v>
      </c>
    </row>
    <row r="5" spans="2:2">
      <c r="B5" t="s">
        <v>29</v>
      </c>
    </row>
    <row r="6" spans="2:2">
      <c r="B6" t="s">
        <v>1</v>
      </c>
    </row>
    <row r="7" spans="2:2">
      <c r="B7" t="s">
        <v>35</v>
      </c>
    </row>
    <row r="8" spans="2:2">
      <c r="B8" t="s">
        <v>29</v>
      </c>
    </row>
    <row r="9" spans="2:2">
      <c r="B9" t="s">
        <v>6</v>
      </c>
    </row>
    <row r="10" spans="2:2">
      <c r="B10" t="s">
        <v>31</v>
      </c>
    </row>
    <row r="11" spans="2:2">
      <c r="B11" t="s">
        <v>30</v>
      </c>
    </row>
    <row r="12" spans="2:2">
      <c r="B12" t="s">
        <v>32</v>
      </c>
    </row>
    <row r="13" spans="2:2">
      <c r="B13" t="s">
        <v>33</v>
      </c>
    </row>
    <row r="14" spans="2:2">
      <c r="B14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プロト</vt:lpstr>
      <vt:lpstr>アルファ</vt:lpstr>
      <vt:lpstr>ベータ・マスター</vt:lpstr>
      <vt:lpstr>スケジュール</vt:lpstr>
      <vt:lpstr>素材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FunasakoYuga</dc:creator>
  <cp:lastModifiedBy>寺尾　彪翔</cp:lastModifiedBy>
  <dcterms:created xsi:type="dcterms:W3CDTF">2015-06-05T18:19:34Z</dcterms:created>
  <dcterms:modified xsi:type="dcterms:W3CDTF">2026-10-11T07:51:08Z</dcterms:modified>
</cp:coreProperties>
</file>