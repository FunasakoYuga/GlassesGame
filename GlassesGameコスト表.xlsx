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dasouma\Documents\GitHub\GlassesGame\"/>
    </mc:Choice>
  </mc:AlternateContent>
  <xr:revisionPtr revIDLastSave="0" documentId="13_ncr:1_{E91C7E75-F9FC-486B-A556-0820588F290E}" xr6:coauthVersionLast="47" xr6:coauthVersionMax="47" xr10:uidLastSave="{00000000-0000-0000-0000-000000000000}"/>
  <bookViews>
    <workbookView xWindow="3675" yWindow="1425" windowWidth="21600" windowHeight="11295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definedNames>
    <definedName name="_xlnm._FilterDatabase" localSheetId="1" hidden="1">アルファ!$G$2:$G$49</definedName>
    <definedName name="_xlnm._FilterDatabase" localSheetId="0" hidden="1">プロト!$G$2:$G$42</definedName>
    <definedName name="_xlnm._FilterDatabase" localSheetId="2" hidden="1">ベータ・マスター!$G$2:$G$22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" l="1"/>
  <c r="F19" i="5"/>
  <c r="K5" i="6"/>
  <c r="F9" i="5"/>
  <c r="F40" i="5"/>
  <c r="E40" i="5"/>
  <c r="F37" i="5"/>
  <c r="E14" i="6"/>
  <c r="E23" i="5"/>
  <c r="F44" i="5"/>
  <c r="F47" i="5"/>
  <c r="E47" i="5"/>
  <c r="E44" i="5"/>
  <c r="F17" i="6"/>
  <c r="E17" i="6"/>
  <c r="F35" i="5" l="1"/>
  <c r="F6" i="5"/>
  <c r="E6" i="5"/>
  <c r="E3" i="5" s="1"/>
  <c r="F30" i="5"/>
  <c r="E31" i="5"/>
  <c r="E30" i="5" s="1"/>
  <c r="E28" i="5" s="1"/>
  <c r="E37" i="5"/>
  <c r="E35" i="5" s="1"/>
  <c r="F15" i="5"/>
  <c r="F23" i="5"/>
  <c r="J11" i="1"/>
  <c r="J10" i="1"/>
  <c r="J8" i="1"/>
  <c r="J9" i="1"/>
  <c r="E32" i="1"/>
  <c r="F12" i="1"/>
  <c r="E4" i="1"/>
  <c r="E12" i="1"/>
  <c r="F4" i="1"/>
  <c r="F32" i="1"/>
  <c r="F28" i="1"/>
  <c r="F26" i="1" s="1"/>
  <c r="E28" i="1"/>
  <c r="E20" i="6"/>
  <c r="E12" i="6"/>
  <c r="F20" i="6"/>
  <c r="F14" i="6"/>
  <c r="F9" i="6"/>
  <c r="F6" i="6" s="1"/>
  <c r="F3" i="6" s="1"/>
  <c r="E9" i="6"/>
  <c r="E6" i="6"/>
  <c r="E3" i="6"/>
  <c r="J3" i="6"/>
  <c r="K6" i="6" s="1"/>
  <c r="J2" i="5"/>
  <c r="K3" i="5" s="1"/>
  <c r="J14" i="5"/>
  <c r="E19" i="5"/>
  <c r="J13" i="5" s="1"/>
  <c r="J3" i="1"/>
  <c r="K5" i="1" s="1"/>
  <c r="E26" i="5" l="1"/>
  <c r="J15" i="5" s="1"/>
  <c r="F28" i="5"/>
  <c r="F26" i="5" s="1"/>
  <c r="F3" i="5"/>
  <c r="K4" i="6"/>
  <c r="E23" i="6"/>
  <c r="J12" i="1"/>
  <c r="F3" i="1"/>
  <c r="F43" i="1"/>
  <c r="K4" i="5"/>
  <c r="F12" i="6"/>
  <c r="F23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F49" i="5" l="1"/>
  <c r="J12" i="5"/>
  <c r="J16" i="5" s="1"/>
  <c r="E49" i="5"/>
  <c r="E43" i="1"/>
  <c r="G11" i="3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<sst xmlns="http://schemas.openxmlformats.org/spreadsheetml/2006/main" count="300" uniqueCount="123">
  <si>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</si>
  <si>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</si>
  <si>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</si>
  <si>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</si>
  <si>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</si>
  <si>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</si>
  <si>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</si>
  <si>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</si>
  <si>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</si>
  <si>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</si>
  <si>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</si>
  <si>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</si>
  <si>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</si>
  <si>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</si>
  <si>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</si>
  <si>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</si>
  <si>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</si>
  <si>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</si>
  <si>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</si>
  <si>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</si>
  <si>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</si>
  <si>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</si>
  <si>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</si>
  <si>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</si>
  <si>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</si>
  <si>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</si>
  <si>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</si>
  <si>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</si>
  <si>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</si>
  <si>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</si>
  <si>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</si>
  <si>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</si>
  <si>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</si>
  <si>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</si>
  <si>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</si>
  <si>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</si>
  <si>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</si>
  <si>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</si>
  <si>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</si>
  <si>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</si>
  <si>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</si>
  <si>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</si>
  <si>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</si>
  <si>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</si>
  <si>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</si>
  <si>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</si>
  <si>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</si>
  <si>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</si>
  <si>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</si>
  <si>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</si>
  <si>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</si>
  <si>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</si>
  <si>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</si>
  <si>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</si>
  <si>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</si>
  <si>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</si>
  <si>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</si>
  <si>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</si>
  <si>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</si>
  <si>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</si>
  <si>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</si>
  <si>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</si>
  <si>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</si>
  <si>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</si>
  <si>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</si>
  <si>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</si>
  <si>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</si>
  <si>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</si>
  <si>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</si>
  <si>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</si>
  <si>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</si>
  <si>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</si>
  <si>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</si>
  <si>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</si>
  <si>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</si>
  <si>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</si>
  <si>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</si>
  <si>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</si>
  <si>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</si>
  <si>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</si>
  <si>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</si>
  <si>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</si>
  <si>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</si>
  <si>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</si>
  <si>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</si>
  <si>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</si>
  <si>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</si>
  <si>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</si>
  <si>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</si>
  <si>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</si>
  <si>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</si>
  <si>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</si>
  <si>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</si>
  <si>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</si>
  <si>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</si>
  <si>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</si>
  <si>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</si>
  <si>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</si>
  <si>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</si>
  <si>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</si>
  <si>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</si>
  <si>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</si>
  <si>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</si>
  <si>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</si>
  <si>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(雰囲気づくり)</t>
    <rPh sb="1" eb="4">
      <t>フンイキ</t>
    </rPh>
    <phoneticPr fontId="1"/>
  </si>
  <si>
    <t>ロビーライト</t>
    <phoneticPr fontId="1"/>
  </si>
  <si>
    <t>スポットライト</t>
    <phoneticPr fontId="1"/>
  </si>
  <si>
    <t>暗闇</t>
    <rPh sb="0" eb="2">
      <t>クラヤミ</t>
    </rPh>
    <phoneticPr fontId="1"/>
  </si>
  <si>
    <t>背景</t>
    <rPh sb="0" eb="2">
      <t>ハイケイ</t>
    </rPh>
    <phoneticPr fontId="1"/>
  </si>
  <si>
    <t>　　　ー　コンティニュー</t>
    <phoneticPr fontId="1"/>
  </si>
  <si>
    <t>　　　ー　操作方法</t>
    <rPh sb="5" eb="9">
      <t>ソウサホウホウ</t>
    </rPh>
    <phoneticPr fontId="1"/>
  </si>
  <si>
    <t>　　　ー　タイトルに戻る</t>
    <rPh sb="10" eb="11">
      <t>モド</t>
    </rPh>
    <phoneticPr fontId="1"/>
  </si>
  <si>
    <t>ボタンSE</t>
    <phoneticPr fontId="1"/>
  </si>
  <si>
    <t xml:space="preserve">               ー　BGM</t>
    <phoneticPr fontId="1"/>
  </si>
  <si>
    <t>カメラ</t>
    <phoneticPr fontId="1"/>
  </si>
  <si>
    <t>ー　揺れ</t>
    <rPh sb="2" eb="3">
      <t>ユ</t>
    </rPh>
    <phoneticPr fontId="1"/>
  </si>
  <si>
    <t>1コスト1時間</t>
    <rPh sb="5" eb="7">
      <t>ジカン</t>
    </rPh>
    <phoneticPr fontId="1"/>
  </si>
  <si>
    <t>完了</t>
    <phoneticPr fontId="1"/>
  </si>
  <si>
    <t>ー　ボタン</t>
    <phoneticPr fontId="1"/>
  </si>
  <si>
    <t xml:space="preserve">               ー　SE</t>
    <phoneticPr fontId="1"/>
  </si>
  <si>
    <t>マニュアル(操作方法)</t>
    <rPh sb="6" eb="10">
      <t>ソウサホウホウ</t>
    </rPh>
    <phoneticPr fontId="1"/>
  </si>
  <si>
    <t>終了</t>
    <rPh sb="0" eb="2">
      <t>シュウリョウ</t>
    </rPh>
    <phoneticPr fontId="1"/>
  </si>
  <si>
    <t>スタート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</si>
</sst>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1" xfId="0" applyFill="1" applyBorder="1" applyAlignment="1">
      <alignment horizontal="right" vertical="center"/>
    </xf>
    <xf numFmtId="0" fontId="0" fillId="2" borderId="14" xfId="0" applyFill="1" applyBorder="1" applyAlignment="1">
      <alignment horizontal="right" vertical="center"/>
    </xf>
    <xf numFmtId="0" fontId="0" fillId="2" borderId="18" xfId="0" applyFill="1" applyBorder="1" applyAlignment="1">
      <alignment horizontal="right" vertical="center"/>
    </xf>
    <xf numFmtId="0" fontId="0" fillId="2" borderId="3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2" xfId="0" applyFill="1" applyBorder="1" applyAlignment="1">
      <alignment horizontal="right" vertical="center"/>
    </xf>
    <xf numFmtId="0" fontId="0" fillId="2" borderId="29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7" xfId="0" applyFill="1" applyBorder="1" applyAlignment="1">
      <alignment horizontal="right" vertical="center"/>
    </xf>
    <xf numFmtId="0" fontId="0" fillId="12" borderId="18" xfId="0" applyFill="1" applyBorder="1" applyAlignment="1">
      <alignment horizontal="center" vertical="center"/>
    </xf>
    <xf numFmtId="0" fontId="0" fillId="12" borderId="18" xfId="0" applyFill="1" applyBorder="1" applyAlignment="1">
      <alignment horizontal="right" vertical="center"/>
    </xf>
    <xf numFmtId="0" fontId="0" fillId="12" borderId="20" xfId="0" applyFill="1" applyBorder="1" applyAlignment="1">
      <alignment horizontal="center" vertical="center"/>
    </xf>
    <xf numFmtId="0" fontId="0" fillId="12" borderId="20" xfId="0" applyFill="1" applyBorder="1" applyAlignment="1">
      <alignment horizontal="right" vertical="center"/>
    </xf>
    <xf numFmtId="0" fontId="0" fillId="12" borderId="21" xfId="0" applyFill="1" applyBorder="1" applyAlignment="1">
      <alignment horizontal="center" vertical="center"/>
    </xf>
    <xf numFmtId="0" fontId="0" fillId="12" borderId="21" xfId="0" applyFill="1" applyBorder="1" applyAlignment="1">
      <alignment horizontal="right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5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52" xfId="0" applyFill="1" applyBorder="1" applyAlignment="1">
      <alignment horizontal="center" vertical="center"/>
    </xf>
    <xf numFmtId="0" fontId="0" fillId="12" borderId="53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54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workbookViewId="0">
      <selection activeCell="K14" sqref="K14"/>
    </sheetView>
  </sheetViews>
  <sheetFormatPr defaultColWidth="9"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17" t="s">
        <v>13</v>
      </c>
      <c r="C2" s="166"/>
      <c r="D2" s="67" t="s">
        <v>9</v>
      </c>
      <c r="E2" s="9" t="s">
        <v>7</v>
      </c>
      <c r="F2" s="9" t="s">
        <v>8</v>
      </c>
      <c r="G2" s="9" t="s">
        <v>78</v>
      </c>
    </row>
    <row r="3" spans="2:19" ht="19.5" thickBot="1">
      <c r="B3" s="119" t="s">
        <v>0</v>
      </c>
      <c r="C3" s="162"/>
      <c r="D3" s="92" t="s">
        <v>12</v>
      </c>
      <c r="E3" s="102">
        <f>SUM(E4:E15)</f>
        <v>21</v>
      </c>
      <c r="F3" s="102">
        <f>SUM(F4:F15)</f>
        <v>23</v>
      </c>
      <c r="G3" s="65" t="s">
        <v>83</v>
      </c>
      <c r="I3" s="43" t="s">
        <v>73</v>
      </c>
      <c r="J3" s="46">
        <f ca="1">TODAY()</f>
        <v>46309</v>
      </c>
      <c r="K3" s="34" t="s">
        <v>82</v>
      </c>
    </row>
    <row r="4" spans="2:19" ht="19.5" thickBot="1">
      <c r="B4" s="121" t="s">
        <v>37</v>
      </c>
      <c r="C4" s="161"/>
      <c r="D4" s="77"/>
      <c r="E4" s="32">
        <f>SUM(E5:E7)</f>
        <v>4</v>
      </c>
      <c r="F4" s="32">
        <f>SUM(F5:F7)</f>
        <v>5</v>
      </c>
      <c r="G4" s="8" t="s">
        <v>83</v>
      </c>
      <c r="I4" s="65" t="s">
        <v>74</v>
      </c>
      <c r="J4" s="46">
        <v>46295</v>
      </c>
      <c r="K4" s="55" t="str">
        <f ca="1">SUM($J4-J3)&amp; "日"</f>
        <v>-14日</v>
      </c>
    </row>
    <row r="5" spans="2:19" ht="19.5" thickBot="1">
      <c r="B5" s="130" t="s">
        <v>38</v>
      </c>
      <c r="C5" s="131"/>
      <c r="D5" s="69"/>
      <c r="E5" s="29">
        <v>2</v>
      </c>
      <c r="F5" s="29">
        <v>2</v>
      </c>
      <c r="G5" s="8" t="s">
        <v>83</v>
      </c>
      <c r="I5" s="62" t="s">
        <v>72</v>
      </c>
      <c r="J5" s="63">
        <v>46314</v>
      </c>
      <c r="K5" s="64" t="str">
        <f ca="1">SUM(J5-J3)&amp; "日"</f>
        <v>5日</v>
      </c>
      <c r="R5" s="50"/>
      <c r="S5" s="51"/>
    </row>
    <row r="6" spans="2:19" ht="19.5" thickBot="1">
      <c r="B6" s="130" t="s">
        <v>39</v>
      </c>
      <c r="C6" s="131"/>
      <c r="D6" s="69"/>
      <c r="E6" s="29">
        <v>1</v>
      </c>
      <c r="F6" s="29">
        <v>2</v>
      </c>
      <c r="G6" s="8" t="s">
        <v>83</v>
      </c>
      <c r="R6" s="50"/>
      <c r="S6" s="51"/>
    </row>
    <row r="7" spans="2:19" ht="19.5" thickBot="1">
      <c r="B7" s="130" t="s">
        <v>85</v>
      </c>
      <c r="C7" s="131"/>
      <c r="D7" s="69"/>
      <c r="E7" s="29">
        <v>1</v>
      </c>
      <c r="F7" s="32">
        <v>1</v>
      </c>
      <c r="G7" s="8" t="s">
        <v>83</v>
      </c>
      <c r="I7" s="168" t="s">
        <v>100</v>
      </c>
      <c r="J7" s="169"/>
      <c r="R7" s="50"/>
      <c r="S7" s="51"/>
    </row>
    <row r="8" spans="2:19">
      <c r="B8" s="125" t="s">
        <v>84</v>
      </c>
      <c r="C8" s="129"/>
      <c r="D8" s="69"/>
      <c r="E8" s="29">
        <v>2</v>
      </c>
      <c r="F8" s="32">
        <v>2</v>
      </c>
      <c r="G8" s="8" t="s">
        <v>83</v>
      </c>
      <c r="I8" s="77" t="s">
        <v>97</v>
      </c>
      <c r="J8" s="81">
        <f>SUM(E3)</f>
        <v>21</v>
      </c>
    </row>
    <row r="9" spans="2:19">
      <c r="B9" s="125" t="s">
        <v>28</v>
      </c>
      <c r="C9" s="129"/>
      <c r="D9" s="70"/>
      <c r="E9" s="30">
        <v>2</v>
      </c>
      <c r="F9" s="30">
        <v>2</v>
      </c>
      <c r="G9" s="8" t="s">
        <v>83</v>
      </c>
      <c r="I9" s="69" t="s">
        <v>11</v>
      </c>
      <c r="J9" s="82">
        <f>SUM(E16)</f>
        <v>16</v>
      </c>
    </row>
    <row r="10" spans="2:19">
      <c r="B10" s="125" t="s">
        <v>40</v>
      </c>
      <c r="C10" s="129"/>
      <c r="D10" s="70"/>
      <c r="E10" s="30">
        <v>2</v>
      </c>
      <c r="F10" s="30">
        <v>2</v>
      </c>
      <c r="G10" s="8" t="s">
        <v>83</v>
      </c>
      <c r="I10" s="69" t="s">
        <v>10</v>
      </c>
      <c r="J10" s="82">
        <f>SUM(E26)</f>
        <v>16</v>
      </c>
    </row>
    <row r="11" spans="2:19" ht="19.5" thickBot="1">
      <c r="B11" s="156" t="s">
        <v>80</v>
      </c>
      <c r="C11" s="167"/>
      <c r="D11" s="69"/>
      <c r="E11" s="29">
        <v>1</v>
      </c>
      <c r="F11" s="29">
        <v>1</v>
      </c>
      <c r="G11" s="5" t="s">
        <v>83</v>
      </c>
      <c r="I11" s="79" t="s">
        <v>14</v>
      </c>
      <c r="J11" s="83">
        <f>SUM(E32)</f>
        <v>13</v>
      </c>
    </row>
    <row r="12" spans="2:19" ht="19.5" thickBot="1">
      <c r="B12" s="125" t="s">
        <v>41</v>
      </c>
      <c r="C12" s="129"/>
      <c r="D12" s="69"/>
      <c r="E12" s="29">
        <f>SUM(E13:E15)</f>
        <v>3</v>
      </c>
      <c r="F12" s="29">
        <f>SUM(F13:F15)</f>
        <v>3</v>
      </c>
      <c r="G12" s="5" t="s">
        <v>83</v>
      </c>
      <c r="I12" s="116" t="s">
        <v>99</v>
      </c>
      <c r="J12" s="78">
        <f>SUM(J8:J11)</f>
        <v>66</v>
      </c>
    </row>
    <row r="13" spans="2:19">
      <c r="B13" s="151" t="s">
        <v>42</v>
      </c>
      <c r="C13" s="159"/>
      <c r="D13" s="69"/>
      <c r="E13" s="29">
        <v>1</v>
      </c>
      <c r="F13" s="29">
        <v>1</v>
      </c>
      <c r="G13" s="5" t="s">
        <v>83</v>
      </c>
    </row>
    <row r="14" spans="2:19">
      <c r="B14" s="130" t="s">
        <v>43</v>
      </c>
      <c r="C14" s="131"/>
      <c r="D14" s="69"/>
      <c r="E14" s="29">
        <v>1</v>
      </c>
      <c r="F14" s="29">
        <v>1</v>
      </c>
      <c r="G14" s="5" t="s">
        <v>83</v>
      </c>
      <c r="R14" s="50"/>
      <c r="S14" s="51"/>
    </row>
    <row r="15" spans="2:19" ht="19.5" thickBot="1">
      <c r="B15" s="147" t="s">
        <v>44</v>
      </c>
      <c r="C15" s="158"/>
      <c r="D15" s="70"/>
      <c r="E15" s="30">
        <v>1</v>
      </c>
      <c r="F15" s="30">
        <v>1</v>
      </c>
      <c r="G15" s="5" t="s">
        <v>83</v>
      </c>
    </row>
    <row r="16" spans="2:19" ht="19.5" thickBot="1">
      <c r="B16" s="119" t="s">
        <v>1</v>
      </c>
      <c r="C16" s="162"/>
      <c r="D16" s="88" t="s">
        <v>11</v>
      </c>
      <c r="E16" s="102">
        <f>SUM(E17:E25)</f>
        <v>16</v>
      </c>
      <c r="F16" s="102">
        <v>8</v>
      </c>
      <c r="G16" s="65" t="s">
        <v>83</v>
      </c>
    </row>
    <row r="17" spans="2:7">
      <c r="B17" s="121" t="s">
        <v>45</v>
      </c>
      <c r="C17" s="161"/>
      <c r="D17" s="77"/>
      <c r="E17" s="32">
        <v>3</v>
      </c>
      <c r="F17" s="32">
        <v>1</v>
      </c>
      <c r="G17" s="8" t="s">
        <v>83</v>
      </c>
    </row>
    <row r="18" spans="2:7">
      <c r="B18" s="125" t="s">
        <v>46</v>
      </c>
      <c r="C18" s="129"/>
      <c r="D18" s="69"/>
      <c r="E18" s="29">
        <v>3</v>
      </c>
      <c r="F18" s="29">
        <v>1</v>
      </c>
      <c r="G18" s="5" t="s">
        <v>83</v>
      </c>
    </row>
    <row r="19" spans="2:7">
      <c r="B19" s="125" t="s">
        <v>47</v>
      </c>
      <c r="C19" s="129"/>
      <c r="D19" s="69"/>
      <c r="E19" s="29">
        <v>3</v>
      </c>
      <c r="F19" s="29">
        <v>1</v>
      </c>
      <c r="G19" s="5" t="s">
        <v>83</v>
      </c>
    </row>
    <row r="20" spans="2:7">
      <c r="B20" s="125" t="s">
        <v>48</v>
      </c>
      <c r="C20" s="129"/>
      <c r="D20" s="70"/>
      <c r="E20" s="29">
        <v>3</v>
      </c>
      <c r="F20" s="29">
        <v>1</v>
      </c>
      <c r="G20" s="5" t="s">
        <v>83</v>
      </c>
    </row>
    <row r="21" spans="2:7">
      <c r="B21" s="125" t="s">
        <v>49</v>
      </c>
      <c r="C21" s="129"/>
      <c r="D21" s="69"/>
      <c r="E21" s="58">
        <v>1</v>
      </c>
      <c r="F21" s="29">
        <v>1</v>
      </c>
      <c r="G21" s="5" t="s">
        <v>83</v>
      </c>
    </row>
    <row r="22" spans="2:7">
      <c r="B22" s="156" t="s">
        <v>41</v>
      </c>
      <c r="C22" s="167"/>
      <c r="D22" s="69"/>
      <c r="E22" s="29"/>
      <c r="F22" s="29">
        <v>3</v>
      </c>
      <c r="G22" s="5" t="s">
        <v>83</v>
      </c>
    </row>
    <row r="23" spans="2:7">
      <c r="B23" s="151" t="s">
        <v>42</v>
      </c>
      <c r="C23" s="159"/>
      <c r="D23" s="69"/>
      <c r="E23" s="29">
        <v>1</v>
      </c>
      <c r="F23" s="29">
        <v>1</v>
      </c>
      <c r="G23" s="5" t="s">
        <v>83</v>
      </c>
    </row>
    <row r="24" spans="2:7">
      <c r="B24" s="151" t="s">
        <v>43</v>
      </c>
      <c r="C24" s="159"/>
      <c r="D24" s="69"/>
      <c r="E24" s="29">
        <v>1</v>
      </c>
      <c r="F24" s="29">
        <v>1</v>
      </c>
      <c r="G24" s="5" t="s">
        <v>83</v>
      </c>
    </row>
    <row r="25" spans="2:7" ht="19.5" thickBot="1">
      <c r="B25" s="153" t="s">
        <v>50</v>
      </c>
      <c r="C25" s="160"/>
      <c r="D25" s="79"/>
      <c r="E25" s="31">
        <v>1</v>
      </c>
      <c r="F25" s="31">
        <v>1</v>
      </c>
      <c r="G25" s="5" t="s">
        <v>83</v>
      </c>
    </row>
    <row r="26" spans="2:7" ht="19.5" thickBot="1">
      <c r="B26" s="119" t="s">
        <v>2</v>
      </c>
      <c r="C26" s="162"/>
      <c r="D26" s="88" t="s">
        <v>10</v>
      </c>
      <c r="E26" s="102">
        <f>SUM(E27:E31)</f>
        <v>16</v>
      </c>
      <c r="F26" s="102">
        <f>SUM(F27,F28,F31)</f>
        <v>11</v>
      </c>
      <c r="G26" s="65" t="s">
        <v>83</v>
      </c>
    </row>
    <row r="27" spans="2:7">
      <c r="B27" s="172" t="s">
        <v>91</v>
      </c>
      <c r="C27" s="173"/>
      <c r="D27" s="77"/>
      <c r="E27" s="32">
        <v>5</v>
      </c>
      <c r="F27" s="32">
        <v>5</v>
      </c>
      <c r="G27" s="8" t="s">
        <v>83</v>
      </c>
    </row>
    <row r="28" spans="2:7">
      <c r="B28" s="156" t="s">
        <v>51</v>
      </c>
      <c r="C28" s="167"/>
      <c r="D28" s="69"/>
      <c r="E28" s="29">
        <f>SUM(E29:E30)</f>
        <v>4</v>
      </c>
      <c r="F28" s="29">
        <f>SUM(F29:F30)</f>
        <v>3</v>
      </c>
      <c r="G28" s="8" t="s">
        <v>83</v>
      </c>
    </row>
    <row r="29" spans="2:7">
      <c r="B29" s="151" t="s">
        <v>52</v>
      </c>
      <c r="C29" s="159"/>
      <c r="D29" s="69"/>
      <c r="E29" s="29">
        <v>2</v>
      </c>
      <c r="F29" s="29">
        <v>2</v>
      </c>
      <c r="G29" s="8" t="s">
        <v>83</v>
      </c>
    </row>
    <row r="30" spans="2:7">
      <c r="B30" s="151" t="s">
        <v>53</v>
      </c>
      <c r="C30" s="159"/>
      <c r="D30" s="69"/>
      <c r="E30" s="29">
        <v>2</v>
      </c>
      <c r="F30" s="29">
        <v>1</v>
      </c>
      <c r="G30" s="8" t="s">
        <v>83</v>
      </c>
    </row>
    <row r="31" spans="2:7" ht="19.5" thickBot="1">
      <c r="B31" s="123" t="s">
        <v>54</v>
      </c>
      <c r="C31" s="140"/>
      <c r="D31" s="70"/>
      <c r="E31" s="30">
        <v>3</v>
      </c>
      <c r="F31" s="30">
        <v>3</v>
      </c>
      <c r="G31" s="8" t="s">
        <v>83</v>
      </c>
    </row>
    <row r="32" spans="2:7" ht="19.5" thickBot="1">
      <c r="B32" s="119" t="s">
        <v>59</v>
      </c>
      <c r="C32" s="162"/>
      <c r="D32" s="88" t="s">
        <v>14</v>
      </c>
      <c r="E32" s="102">
        <f>SUM(E33:E42)</f>
        <v>13</v>
      </c>
      <c r="F32" s="102">
        <f>SUM(F34,F36,F37,F40,F41)</f>
        <v>5</v>
      </c>
      <c r="G32" s="65" t="s">
        <v>83</v>
      </c>
    </row>
    <row r="33" spans="2:7">
      <c r="B33" s="121" t="s">
        <v>58</v>
      </c>
      <c r="C33" s="161"/>
      <c r="D33" s="77"/>
      <c r="E33" s="32"/>
      <c r="F33" s="32"/>
      <c r="G33" s="8" t="s">
        <v>83</v>
      </c>
    </row>
    <row r="34" spans="2:7">
      <c r="B34" s="130" t="s">
        <v>55</v>
      </c>
      <c r="C34" s="131"/>
      <c r="D34" s="77"/>
      <c r="E34" s="32">
        <v>2</v>
      </c>
      <c r="F34" s="32">
        <v>1</v>
      </c>
      <c r="G34" s="5" t="s">
        <v>83</v>
      </c>
    </row>
    <row r="35" spans="2:7">
      <c r="B35" s="134" t="s">
        <v>4</v>
      </c>
      <c r="C35" s="163"/>
      <c r="D35" s="90"/>
      <c r="E35" s="103"/>
      <c r="F35" s="103"/>
      <c r="G35" s="100" t="s">
        <v>83</v>
      </c>
    </row>
    <row r="36" spans="2:7">
      <c r="B36" s="125" t="s">
        <v>56</v>
      </c>
      <c r="C36" s="129"/>
      <c r="D36" s="69"/>
      <c r="E36" s="29">
        <v>2</v>
      </c>
      <c r="F36" s="29">
        <v>1</v>
      </c>
      <c r="G36" s="5" t="s">
        <v>83</v>
      </c>
    </row>
    <row r="37" spans="2:7">
      <c r="B37" s="125" t="s">
        <v>57</v>
      </c>
      <c r="C37" s="129"/>
      <c r="D37" s="69"/>
      <c r="E37" s="29">
        <v>2</v>
      </c>
      <c r="F37" s="29">
        <v>1</v>
      </c>
      <c r="G37" s="5" t="s">
        <v>83</v>
      </c>
    </row>
    <row r="38" spans="2:7">
      <c r="B38" s="125" t="s">
        <v>92</v>
      </c>
      <c r="C38" s="129"/>
      <c r="D38" s="69"/>
      <c r="E38" s="29">
        <v>1</v>
      </c>
      <c r="F38" s="29">
        <v>1</v>
      </c>
      <c r="G38" s="5" t="s">
        <v>83</v>
      </c>
    </row>
    <row r="39" spans="2:7">
      <c r="B39" s="134" t="s">
        <v>5</v>
      </c>
      <c r="C39" s="163"/>
      <c r="D39" s="90"/>
      <c r="E39" s="103"/>
      <c r="F39" s="103"/>
      <c r="G39" s="100" t="s">
        <v>83</v>
      </c>
    </row>
    <row r="40" spans="2:7">
      <c r="B40" s="164" t="s">
        <v>60</v>
      </c>
      <c r="C40" s="165"/>
      <c r="D40" s="76"/>
      <c r="E40" s="29">
        <v>2</v>
      </c>
      <c r="F40" s="29">
        <v>1</v>
      </c>
      <c r="G40" s="5" t="s">
        <v>83</v>
      </c>
    </row>
    <row r="41" spans="2:7">
      <c r="B41" s="156" t="s">
        <v>61</v>
      </c>
      <c r="C41" s="157"/>
      <c r="D41" s="76"/>
      <c r="E41" s="29">
        <v>3</v>
      </c>
      <c r="F41" s="29">
        <v>1</v>
      </c>
      <c r="G41" s="5" t="s">
        <v>83</v>
      </c>
    </row>
    <row r="42" spans="2:7" ht="19.5" thickBot="1">
      <c r="B42" s="170" t="s">
        <v>92</v>
      </c>
      <c r="C42" s="171"/>
      <c r="D42" s="68"/>
      <c r="E42" s="30">
        <v>1</v>
      </c>
      <c r="F42" s="30">
        <v>1</v>
      </c>
      <c r="G42" s="5" t="s">
        <v>83</v>
      </c>
    </row>
    <row r="43" spans="2:7" ht="19.5" thickBot="1">
      <c r="B43" s="132" t="s">
        <v>81</v>
      </c>
      <c r="C43" s="155"/>
      <c r="D43" s="66"/>
      <c r="E43" s="33">
        <f>SUM(E3+E16+E26+F32)</f>
        <v>58</v>
      </c>
      <c r="F43" s="33">
        <f>SUM(F3+F16+F26+F32)</f>
        <v>47</v>
      </c>
      <c r="G43" s="9" t="s">
        <v>83</v>
      </c>
    </row>
  </sheetData>
  <autoFilter ref="G2:G42" xr:uid="{00000000-0001-0000-0000-000000000000}"/>
  <mergeCells count="43"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49"/>
  <sheetViews>
    <sheetView tabSelected="1" workbookViewId="0">
      <selection activeCell="H22" sqref="H22"/>
    </sheetView>
  </sheetViews>
  <sheetFormatPr defaultRowHeight="18.75"/>
  <cols>
    <col min="3" max="3" width="18.125" customWidth="1"/>
    <col min="9" max="9" width="18.25" bestFit="1" customWidth="1"/>
    <col min="10" max="10" width="11.25" bestFit="1" customWidth="1"/>
  </cols>
  <sheetData>
    <row r="1" spans="2:13" ht="19.5" thickBot="1"/>
    <row r="2" spans="2:13" ht="19.5" thickBot="1">
      <c r="B2" s="117" t="s">
        <v>62</v>
      </c>
      <c r="C2" s="118"/>
      <c r="D2" s="9" t="s">
        <v>9</v>
      </c>
      <c r="E2" s="9" t="s">
        <v>7</v>
      </c>
      <c r="F2" s="9" t="s">
        <v>8</v>
      </c>
      <c r="G2" s="34" t="s">
        <v>78</v>
      </c>
      <c r="I2" s="43" t="s">
        <v>73</v>
      </c>
      <c r="J2" s="46">
        <f ca="1">TODAY()</f>
        <v>46309</v>
      </c>
      <c r="K2" s="34" t="s">
        <v>82</v>
      </c>
    </row>
    <row r="3" spans="2:13" ht="19.5" thickBot="1">
      <c r="B3" s="119" t="s">
        <v>0</v>
      </c>
      <c r="C3" s="120"/>
      <c r="D3" s="65" t="s">
        <v>12</v>
      </c>
      <c r="E3" s="102">
        <f>SUM(E4+E6+E8+E9+E15)</f>
        <v>13.5</v>
      </c>
      <c r="F3" s="102">
        <f>SUM(F4+F6+F9+F8+F15)</f>
        <v>21.5</v>
      </c>
      <c r="G3" s="89" t="s">
        <v>83</v>
      </c>
      <c r="I3" s="57" t="s">
        <v>75</v>
      </c>
      <c r="J3" s="45">
        <v>46307</v>
      </c>
      <c r="K3" s="41" t="str">
        <f ca="1">SUM($J3-J2)&amp; "日"</f>
        <v>-2日</v>
      </c>
    </row>
    <row r="4" spans="2:13" ht="19.5" thickBot="1">
      <c r="B4" s="121" t="s">
        <v>64</v>
      </c>
      <c r="C4" s="122"/>
      <c r="D4" s="108"/>
      <c r="E4" s="109">
        <v>2</v>
      </c>
      <c r="F4" s="109">
        <v>2</v>
      </c>
      <c r="G4" s="96" t="s">
        <v>83</v>
      </c>
      <c r="I4" s="62" t="s">
        <v>72</v>
      </c>
      <c r="J4" s="63">
        <v>46314</v>
      </c>
      <c r="K4" s="64" t="str">
        <f ca="1">SUM(J4-J2)&amp; "日"</f>
        <v>5日</v>
      </c>
    </row>
    <row r="5" spans="2:13">
      <c r="B5" s="127" t="s">
        <v>86</v>
      </c>
      <c r="C5" s="128"/>
      <c r="D5" s="5"/>
      <c r="E5" s="29">
        <v>2</v>
      </c>
      <c r="F5" s="29">
        <v>2</v>
      </c>
      <c r="G5" s="38" t="s">
        <v>83</v>
      </c>
      <c r="I5" s="4"/>
      <c r="J5" s="50"/>
      <c r="K5" s="51"/>
    </row>
    <row r="6" spans="2:13">
      <c r="B6" s="125" t="s">
        <v>114</v>
      </c>
      <c r="C6" s="129"/>
      <c r="D6" s="110"/>
      <c r="E6" s="111">
        <f>SUM(E7)</f>
        <v>3</v>
      </c>
      <c r="F6" s="111">
        <f>SUM(F7)</f>
        <v>3</v>
      </c>
      <c r="G6" s="96" t="s">
        <v>83</v>
      </c>
      <c r="I6" s="4"/>
      <c r="J6" s="50"/>
      <c r="K6" s="51"/>
    </row>
    <row r="7" spans="2:13">
      <c r="B7" s="130" t="s">
        <v>115</v>
      </c>
      <c r="C7" s="131"/>
      <c r="D7" s="5"/>
      <c r="E7" s="29">
        <v>3</v>
      </c>
      <c r="F7" s="29">
        <v>3</v>
      </c>
      <c r="G7" s="38" t="s">
        <v>83</v>
      </c>
      <c r="I7" s="143" t="s">
        <v>87</v>
      </c>
      <c r="J7" s="143"/>
      <c r="K7" s="143"/>
      <c r="L7" s="143"/>
      <c r="M7" s="143"/>
    </row>
    <row r="8" spans="2:13">
      <c r="B8" s="125" t="s">
        <v>65</v>
      </c>
      <c r="C8" s="126"/>
      <c r="D8" s="110"/>
      <c r="E8" s="111">
        <v>2</v>
      </c>
      <c r="F8" s="111">
        <v>5</v>
      </c>
      <c r="G8" s="96" t="s">
        <v>83</v>
      </c>
      <c r="I8" s="4"/>
      <c r="J8" s="50"/>
      <c r="K8" s="51"/>
    </row>
    <row r="9" spans="2:13">
      <c r="B9" s="123" t="s">
        <v>68</v>
      </c>
      <c r="C9" s="124"/>
      <c r="D9" s="112"/>
      <c r="E9" s="113">
        <f>SUM(E10:E14)</f>
        <v>2.5</v>
      </c>
      <c r="F9" s="113">
        <f>SUM(F10:F14)</f>
        <v>5</v>
      </c>
      <c r="G9" s="94" t="s">
        <v>83</v>
      </c>
    </row>
    <row r="10" spans="2:13" ht="19.5" thickBot="1">
      <c r="B10" s="130" t="s">
        <v>88</v>
      </c>
      <c r="C10" s="146"/>
      <c r="D10" s="5"/>
      <c r="E10" s="29">
        <v>0.5</v>
      </c>
      <c r="F10" s="29">
        <v>1</v>
      </c>
      <c r="G10" s="80" t="s">
        <v>83</v>
      </c>
      <c r="I10" t="s">
        <v>116</v>
      </c>
    </row>
    <row r="11" spans="2:13" ht="19.5" thickBot="1">
      <c r="B11" s="130" t="s">
        <v>89</v>
      </c>
      <c r="C11" s="146"/>
      <c r="D11" s="5"/>
      <c r="E11" s="29">
        <v>0.5</v>
      </c>
      <c r="F11" s="29">
        <v>1</v>
      </c>
      <c r="G11" s="80" t="s">
        <v>83</v>
      </c>
      <c r="I11" s="149" t="s">
        <v>101</v>
      </c>
      <c r="J11" s="150"/>
    </row>
    <row r="12" spans="2:13">
      <c r="B12" s="130" t="s">
        <v>90</v>
      </c>
      <c r="C12" s="146"/>
      <c r="D12" s="5"/>
      <c r="E12" s="29">
        <v>0.5</v>
      </c>
      <c r="F12" s="29">
        <v>1</v>
      </c>
      <c r="G12" s="80" t="s">
        <v>83</v>
      </c>
      <c r="I12" s="97" t="s">
        <v>97</v>
      </c>
      <c r="J12" s="81">
        <f>SUM(E3+E28+E35)</f>
        <v>27</v>
      </c>
    </row>
    <row r="13" spans="2:13">
      <c r="B13" s="147" t="s">
        <v>28</v>
      </c>
      <c r="C13" s="148"/>
      <c r="D13" s="7"/>
      <c r="E13" s="30">
        <v>0.5</v>
      </c>
      <c r="F13" s="29">
        <v>1</v>
      </c>
      <c r="G13" s="80" t="s">
        <v>83</v>
      </c>
      <c r="I13" s="98" t="s">
        <v>11</v>
      </c>
      <c r="J13" s="82">
        <f>SUM(E19)</f>
        <v>9</v>
      </c>
    </row>
    <row r="14" spans="2:13">
      <c r="B14" s="130" t="s">
        <v>98</v>
      </c>
      <c r="C14" s="131"/>
      <c r="D14" s="7"/>
      <c r="E14" s="30">
        <v>0.5</v>
      </c>
      <c r="F14" s="30">
        <v>1</v>
      </c>
      <c r="G14" s="80" t="s">
        <v>83</v>
      </c>
      <c r="I14" s="98" t="s">
        <v>10</v>
      </c>
      <c r="J14" s="82">
        <f>SUM(E23)</f>
        <v>6</v>
      </c>
    </row>
    <row r="15" spans="2:13" ht="19.5" thickBot="1">
      <c r="B15" s="123" t="s">
        <v>102</v>
      </c>
      <c r="C15" s="124"/>
      <c r="D15" s="112"/>
      <c r="E15" s="113">
        <v>4</v>
      </c>
      <c r="F15" s="113">
        <f>SUM(F16:F18)</f>
        <v>6.5</v>
      </c>
      <c r="G15" s="95" t="s">
        <v>83</v>
      </c>
      <c r="I15" s="99" t="s">
        <v>14</v>
      </c>
      <c r="J15" s="83">
        <f>SUM(E26)</f>
        <v>18.5</v>
      </c>
    </row>
    <row r="16" spans="2:13" ht="19.5" thickBot="1">
      <c r="B16" s="151" t="s">
        <v>105</v>
      </c>
      <c r="C16" s="152"/>
      <c r="D16" s="5"/>
      <c r="E16" s="29">
        <v>1</v>
      </c>
      <c r="F16" s="29">
        <v>1</v>
      </c>
      <c r="G16" s="52" t="s">
        <v>83</v>
      </c>
      <c r="I16" s="116" t="s">
        <v>99</v>
      </c>
      <c r="J16" s="78">
        <f>SUM(J12:J15)</f>
        <v>60.5</v>
      </c>
    </row>
    <row r="17" spans="2:7">
      <c r="B17" s="151" t="s">
        <v>106</v>
      </c>
      <c r="C17" s="152"/>
      <c r="D17" s="5"/>
      <c r="E17" s="29">
        <v>5</v>
      </c>
      <c r="F17" s="29">
        <v>5</v>
      </c>
      <c r="G17" s="52" t="s">
        <v>83</v>
      </c>
    </row>
    <row r="18" spans="2:7" ht="19.5" thickBot="1">
      <c r="B18" s="153" t="s">
        <v>107</v>
      </c>
      <c r="C18" s="154"/>
      <c r="D18" s="6"/>
      <c r="E18" s="31">
        <v>1</v>
      </c>
      <c r="F18" s="31">
        <v>0.5</v>
      </c>
      <c r="G18" s="93" t="s">
        <v>83</v>
      </c>
    </row>
    <row r="19" spans="2:7" ht="19.5" thickBot="1">
      <c r="B19" s="144" t="s">
        <v>1</v>
      </c>
      <c r="C19" s="145"/>
      <c r="D19" s="105" t="s">
        <v>11</v>
      </c>
      <c r="E19" s="106">
        <f>SUM(E20:E22)</f>
        <v>9</v>
      </c>
      <c r="F19" s="106">
        <f>SUM(F20:F22)</f>
        <v>5</v>
      </c>
      <c r="G19" s="107" t="s">
        <v>79</v>
      </c>
    </row>
    <row r="20" spans="2:7">
      <c r="B20" s="121" t="s">
        <v>64</v>
      </c>
      <c r="C20" s="122"/>
      <c r="D20" s="114"/>
      <c r="E20" s="115">
        <v>2</v>
      </c>
      <c r="F20" s="115">
        <v>1</v>
      </c>
      <c r="G20" s="96" t="s">
        <v>83</v>
      </c>
    </row>
    <row r="21" spans="2:7">
      <c r="B21" s="125" t="s">
        <v>93</v>
      </c>
      <c r="C21" s="126"/>
      <c r="D21" s="114"/>
      <c r="E21" s="115">
        <v>4</v>
      </c>
      <c r="F21" s="115">
        <v>2</v>
      </c>
      <c r="G21" s="96" t="s">
        <v>83</v>
      </c>
    </row>
    <row r="22" spans="2:7" ht="19.5" thickBot="1">
      <c r="B22" s="125" t="s">
        <v>65</v>
      </c>
      <c r="C22" s="126"/>
      <c r="D22" s="110"/>
      <c r="E22" s="111">
        <v>3</v>
      </c>
      <c r="F22" s="111">
        <v>2</v>
      </c>
      <c r="G22" s="96" t="s">
        <v>83</v>
      </c>
    </row>
    <row r="23" spans="2:7" ht="19.5" thickBot="1">
      <c r="B23" s="119" t="s">
        <v>2</v>
      </c>
      <c r="C23" s="120"/>
      <c r="D23" s="65" t="s">
        <v>10</v>
      </c>
      <c r="E23" s="102">
        <f>SUM(E24:E25)</f>
        <v>6</v>
      </c>
      <c r="F23" s="102">
        <f>SUM(F24:F25)</f>
        <v>6</v>
      </c>
      <c r="G23" s="89" t="s">
        <v>79</v>
      </c>
    </row>
    <row r="24" spans="2:7">
      <c r="B24" s="123" t="s">
        <v>6</v>
      </c>
      <c r="C24" s="140"/>
      <c r="D24" s="112"/>
      <c r="E24" s="113">
        <v>5</v>
      </c>
      <c r="F24" s="113">
        <v>5</v>
      </c>
      <c r="G24" s="95" t="s">
        <v>83</v>
      </c>
    </row>
    <row r="25" spans="2:7" ht="19.5" thickBot="1">
      <c r="B25" s="141" t="s">
        <v>86</v>
      </c>
      <c r="C25" s="142"/>
      <c r="D25" s="6"/>
      <c r="E25" s="31">
        <v>1</v>
      </c>
      <c r="F25" s="31">
        <v>1</v>
      </c>
      <c r="G25" s="52" t="s">
        <v>79</v>
      </c>
    </row>
    <row r="26" spans="2:7" ht="19.5" thickBot="1">
      <c r="B26" s="119" t="s">
        <v>59</v>
      </c>
      <c r="C26" s="120"/>
      <c r="D26" s="65" t="s">
        <v>14</v>
      </c>
      <c r="E26" s="102">
        <f>SUM(E28+E35+E44+E47)</f>
        <v>18.5</v>
      </c>
      <c r="F26" s="102">
        <f>SUM(F28+F35+F44+F47)</f>
        <v>19.5</v>
      </c>
      <c r="G26" s="89" t="s">
        <v>83</v>
      </c>
    </row>
    <row r="27" spans="2:7">
      <c r="B27" s="121" t="s">
        <v>63</v>
      </c>
      <c r="C27" s="122"/>
      <c r="D27" s="114"/>
      <c r="E27" s="115">
        <v>5</v>
      </c>
      <c r="F27" s="115">
        <v>2</v>
      </c>
      <c r="G27" s="94" t="s">
        <v>117</v>
      </c>
    </row>
    <row r="28" spans="2:7">
      <c r="B28" s="134" t="s">
        <v>94</v>
      </c>
      <c r="C28" s="135"/>
      <c r="D28" s="100" t="s">
        <v>95</v>
      </c>
      <c r="E28" s="101">
        <f>SUM(E29+E30)</f>
        <v>7.5</v>
      </c>
      <c r="F28" s="101">
        <f>SUM(F29+F30)</f>
        <v>6.5</v>
      </c>
      <c r="G28" s="91" t="s">
        <v>83</v>
      </c>
    </row>
    <row r="29" spans="2:7">
      <c r="B29" s="125" t="s">
        <v>108</v>
      </c>
      <c r="C29" s="129"/>
      <c r="D29" s="110"/>
      <c r="E29" s="115">
        <v>0.5</v>
      </c>
      <c r="F29" s="115">
        <v>0.5</v>
      </c>
      <c r="G29" s="94" t="s">
        <v>83</v>
      </c>
    </row>
    <row r="30" spans="2:7">
      <c r="B30" s="125" t="s">
        <v>92</v>
      </c>
      <c r="C30" s="129"/>
      <c r="D30" s="110"/>
      <c r="E30" s="115">
        <f>SUM(E31+E32+E33+E34)</f>
        <v>7</v>
      </c>
      <c r="F30" s="115">
        <f>SUM(F31+F32+F33+F34)</f>
        <v>6</v>
      </c>
      <c r="G30" s="94" t="s">
        <v>83</v>
      </c>
    </row>
    <row r="31" spans="2:7">
      <c r="B31" s="136" t="s">
        <v>109</v>
      </c>
      <c r="C31" s="137"/>
      <c r="D31" s="5"/>
      <c r="E31" s="32">
        <f>2</f>
        <v>2</v>
      </c>
      <c r="F31" s="32">
        <v>1.5</v>
      </c>
      <c r="G31" s="80" t="s">
        <v>83</v>
      </c>
    </row>
    <row r="32" spans="2:7">
      <c r="B32" s="136" t="s">
        <v>110</v>
      </c>
      <c r="C32" s="137"/>
      <c r="D32" s="5"/>
      <c r="E32" s="32">
        <v>2</v>
      </c>
      <c r="F32" s="32">
        <v>1.5</v>
      </c>
      <c r="G32" s="80" t="s">
        <v>83</v>
      </c>
    </row>
    <row r="33" spans="2:7">
      <c r="B33" s="136" t="s">
        <v>111</v>
      </c>
      <c r="C33" s="137"/>
      <c r="D33" s="5"/>
      <c r="E33" s="32">
        <v>2</v>
      </c>
      <c r="F33" s="32">
        <v>1.5</v>
      </c>
      <c r="G33" s="80" t="s">
        <v>83</v>
      </c>
    </row>
    <row r="34" spans="2:7">
      <c r="B34" s="130" t="s">
        <v>112</v>
      </c>
      <c r="C34" s="131"/>
      <c r="D34" s="5"/>
      <c r="E34" s="32">
        <v>1</v>
      </c>
      <c r="F34" s="32">
        <v>1.5</v>
      </c>
      <c r="G34" s="80" t="s">
        <v>83</v>
      </c>
    </row>
    <row r="35" spans="2:7">
      <c r="B35" s="134" t="s">
        <v>4</v>
      </c>
      <c r="C35" s="135"/>
      <c r="D35" s="100" t="s">
        <v>95</v>
      </c>
      <c r="E35" s="103">
        <f>SUM(E36+E37+E40)</f>
        <v>6</v>
      </c>
      <c r="F35" s="103">
        <f>SUM(F36+F37+F40)</f>
        <v>8</v>
      </c>
      <c r="G35" s="91" t="s">
        <v>83</v>
      </c>
    </row>
    <row r="36" spans="2:7">
      <c r="B36" s="125" t="s">
        <v>96</v>
      </c>
      <c r="C36" s="126"/>
      <c r="D36" s="110"/>
      <c r="E36" s="111">
        <v>2</v>
      </c>
      <c r="F36" s="111">
        <v>2</v>
      </c>
      <c r="G36" s="94" t="s">
        <v>83</v>
      </c>
    </row>
    <row r="37" spans="2:7">
      <c r="B37" s="125" t="s">
        <v>67</v>
      </c>
      <c r="C37" s="129"/>
      <c r="D37" s="110"/>
      <c r="E37" s="111">
        <f>SUM(E38+E41)</f>
        <v>2.5</v>
      </c>
      <c r="F37" s="111">
        <f>SUM(F38+F41)</f>
        <v>3</v>
      </c>
      <c r="G37" s="94" t="s">
        <v>83</v>
      </c>
    </row>
    <row r="38" spans="2:7">
      <c r="B38" s="136" t="s">
        <v>113</v>
      </c>
      <c r="C38" s="137"/>
      <c r="D38" s="5"/>
      <c r="E38" s="29">
        <v>2</v>
      </c>
      <c r="F38" s="29">
        <v>2</v>
      </c>
      <c r="G38" s="80" t="s">
        <v>83</v>
      </c>
    </row>
    <row r="39" spans="2:7">
      <c r="B39" s="136" t="s">
        <v>119</v>
      </c>
      <c r="C39" s="137"/>
      <c r="D39" s="5"/>
      <c r="E39" s="29">
        <v>0.5</v>
      </c>
      <c r="F39" s="29">
        <v>1</v>
      </c>
      <c r="G39" s="80" t="s">
        <v>83</v>
      </c>
    </row>
    <row r="40" spans="2:7">
      <c r="B40" s="125" t="s">
        <v>118</v>
      </c>
      <c r="C40" s="129"/>
      <c r="D40" s="110"/>
      <c r="E40" s="111">
        <f>SUM(E41:E43)</f>
        <v>1.5</v>
      </c>
      <c r="F40" s="111">
        <f>SUM(F41:F43)</f>
        <v>3</v>
      </c>
      <c r="G40" s="94" t="s">
        <v>83</v>
      </c>
    </row>
    <row r="41" spans="2:7">
      <c r="B41" s="130" t="s">
        <v>122</v>
      </c>
      <c r="C41" s="131"/>
      <c r="D41" s="5"/>
      <c r="E41" s="29">
        <v>0.5</v>
      </c>
      <c r="F41" s="29">
        <v>1</v>
      </c>
      <c r="G41" s="80" t="s">
        <v>83</v>
      </c>
    </row>
    <row r="42" spans="2:7">
      <c r="B42" s="130" t="s">
        <v>120</v>
      </c>
      <c r="C42" s="131"/>
      <c r="D42" s="5"/>
      <c r="E42" s="29">
        <v>0.5</v>
      </c>
      <c r="F42" s="29">
        <v>1</v>
      </c>
      <c r="G42" s="80" t="s">
        <v>83</v>
      </c>
    </row>
    <row r="43" spans="2:7">
      <c r="B43" s="130" t="s">
        <v>121</v>
      </c>
      <c r="C43" s="131"/>
      <c r="D43" s="5"/>
      <c r="E43" s="29">
        <v>0.5</v>
      </c>
      <c r="F43" s="29">
        <v>1</v>
      </c>
      <c r="G43" s="80" t="s">
        <v>83</v>
      </c>
    </row>
    <row r="44" spans="2:7">
      <c r="B44" s="134" t="s">
        <v>5</v>
      </c>
      <c r="C44" s="135"/>
      <c r="D44" s="100"/>
      <c r="E44" s="103">
        <f>SUM(E45:E46)</f>
        <v>3</v>
      </c>
      <c r="F44" s="103">
        <f>SUM(F45:F46)</f>
        <v>3</v>
      </c>
      <c r="G44" s="91" t="s">
        <v>117</v>
      </c>
    </row>
    <row r="45" spans="2:7">
      <c r="B45" s="138" t="s">
        <v>66</v>
      </c>
      <c r="C45" s="139"/>
      <c r="D45" s="112"/>
      <c r="E45" s="113">
        <v>2</v>
      </c>
      <c r="F45" s="113">
        <v>2</v>
      </c>
      <c r="G45" s="95" t="s">
        <v>117</v>
      </c>
    </row>
    <row r="46" spans="2:7">
      <c r="B46" s="125" t="s">
        <v>96</v>
      </c>
      <c r="C46" s="126"/>
      <c r="D46" s="112"/>
      <c r="E46" s="113">
        <v>1</v>
      </c>
      <c r="F46" s="113">
        <v>1</v>
      </c>
      <c r="G46" s="95" t="s">
        <v>117</v>
      </c>
    </row>
    <row r="47" spans="2:7">
      <c r="B47" s="134" t="s">
        <v>98</v>
      </c>
      <c r="C47" s="135"/>
      <c r="D47" s="100"/>
      <c r="E47" s="103">
        <f>SUM(E48:E48)</f>
        <v>2</v>
      </c>
      <c r="F47" s="103">
        <f>SUM(F48:F48)</f>
        <v>2</v>
      </c>
      <c r="G47" s="104" t="s">
        <v>83</v>
      </c>
    </row>
    <row r="48" spans="2:7" ht="19.5" thickBot="1">
      <c r="B48" s="123" t="s">
        <v>96</v>
      </c>
      <c r="C48" s="124"/>
      <c r="D48" s="112"/>
      <c r="E48" s="113">
        <v>2</v>
      </c>
      <c r="F48" s="113">
        <v>2</v>
      </c>
      <c r="G48" s="95" t="s">
        <v>83</v>
      </c>
    </row>
    <row r="49" spans="2:7" ht="19.5" thickBot="1">
      <c r="B49" s="132" t="s">
        <v>34</v>
      </c>
      <c r="C49" s="133"/>
      <c r="D49" s="9"/>
      <c r="E49" s="33">
        <f>SUM(E3+E19+E23+E26)</f>
        <v>47</v>
      </c>
      <c r="F49" s="33">
        <f>SUM(F3+F19+F23+F26)</f>
        <v>52</v>
      </c>
      <c r="G49" s="84"/>
    </row>
  </sheetData>
  <autoFilter ref="G2:G49" xr:uid="{E0DBF476-724A-4DAE-8D66-8B0809F96B84}"/>
  <mergeCells count="50">
    <mergeCell ref="I7:M7"/>
    <mergeCell ref="B19:C19"/>
    <mergeCell ref="B20:C20"/>
    <mergeCell ref="B22:C22"/>
    <mergeCell ref="B10:C10"/>
    <mergeCell ref="B11:C11"/>
    <mergeCell ref="B12:C12"/>
    <mergeCell ref="B13:C13"/>
    <mergeCell ref="B21:C21"/>
    <mergeCell ref="I11:J11"/>
    <mergeCell ref="B15:C15"/>
    <mergeCell ref="B16:C16"/>
    <mergeCell ref="B17:C17"/>
    <mergeCell ref="B18:C18"/>
    <mergeCell ref="B14:C14"/>
    <mergeCell ref="B26:C26"/>
    <mergeCell ref="B23:C23"/>
    <mergeCell ref="B45:C45"/>
    <mergeCell ref="B36:C36"/>
    <mergeCell ref="B41:C41"/>
    <mergeCell ref="B24:C24"/>
    <mergeCell ref="B25:C25"/>
    <mergeCell ref="B29:C29"/>
    <mergeCell ref="B32:C32"/>
    <mergeCell ref="B33:C33"/>
    <mergeCell ref="B30:C30"/>
    <mergeCell ref="B31:C31"/>
    <mergeCell ref="B34:C34"/>
    <mergeCell ref="B49:C49"/>
    <mergeCell ref="B27:C27"/>
    <mergeCell ref="B35:C35"/>
    <mergeCell ref="B44:C44"/>
    <mergeCell ref="B28:C28"/>
    <mergeCell ref="B46:C46"/>
    <mergeCell ref="B37:C37"/>
    <mergeCell ref="B38:C38"/>
    <mergeCell ref="B47:C47"/>
    <mergeCell ref="B48:C48"/>
    <mergeCell ref="B40:C40"/>
    <mergeCell ref="B39:C39"/>
    <mergeCell ref="B42:C42"/>
    <mergeCell ref="B43:C43"/>
    <mergeCell ref="B2:C2"/>
    <mergeCell ref="B3:C3"/>
    <mergeCell ref="B4:C4"/>
    <mergeCell ref="B9:C9"/>
    <mergeCell ref="B8:C8"/>
    <mergeCell ref="B5:C5"/>
    <mergeCell ref="B6:C6"/>
    <mergeCell ref="B7:C7"/>
  </mergeCells>
  <phoneticPr fontId="1"/>
  <conditionalFormatting sqref="G2">
    <cfRule type="containsText" dxfId="0" priority="1" operator="containsText" text="完了">
      <formula>NOT(ISERROR(SEARCH("完了",G2)))</formula>
    </cfRule>
  </conditionalFormatting>
  <pageMargins left="0.7" right="0.7" top="0.75" bottom="0.75" header="0.3" footer="0.3"/>
  <ignoredErrors>
    <ignoredError sqref="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M26"/>
  <sheetViews>
    <sheetView workbookViewId="0">
      <selection activeCell="H6" sqref="H6"/>
    </sheetView>
  </sheetViews>
  <sheetFormatPr defaultRowHeight="18.75"/>
  <cols>
    <col min="8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86" t="s">
        <v>69</v>
      </c>
      <c r="C2" s="187"/>
      <c r="D2" s="9" t="s">
        <v>9</v>
      </c>
      <c r="E2" s="9" t="s">
        <v>7</v>
      </c>
      <c r="F2" s="34" t="s">
        <v>8</v>
      </c>
      <c r="G2" s="34" t="s">
        <v>78</v>
      </c>
    </row>
    <row r="3" spans="2:12" ht="19.5" thickBot="1">
      <c r="B3" s="176" t="s">
        <v>0</v>
      </c>
      <c r="C3" s="177"/>
      <c r="D3" s="9" t="s">
        <v>12</v>
      </c>
      <c r="E3" s="33">
        <f>SUM(E4)</f>
        <v>3</v>
      </c>
      <c r="F3" s="55">
        <f>SUM(F4)</f>
        <v>0</v>
      </c>
      <c r="G3" s="34" t="s">
        <v>79</v>
      </c>
      <c r="I3" s="43" t="s">
        <v>73</v>
      </c>
      <c r="J3" s="46">
        <f ca="1">TODAY()</f>
        <v>46309</v>
      </c>
      <c r="K3" s="34" t="s">
        <v>82</v>
      </c>
    </row>
    <row r="4" spans="2:12">
      <c r="B4" s="188" t="s">
        <v>70</v>
      </c>
      <c r="C4" s="189"/>
      <c r="D4" s="72"/>
      <c r="E4" s="73">
        <v>3</v>
      </c>
      <c r="F4" s="71"/>
      <c r="G4" s="74" t="s">
        <v>79</v>
      </c>
      <c r="I4" s="47" t="s">
        <v>76</v>
      </c>
      <c r="J4" s="44">
        <v>46310</v>
      </c>
      <c r="K4" s="40" t="str">
        <f ca="1">SUM($J4-$J3)&amp; "日"</f>
        <v>1日</v>
      </c>
    </row>
    <row r="5" spans="2:12" ht="19.5" thickBot="1">
      <c r="B5" s="123" t="s">
        <v>104</v>
      </c>
      <c r="C5" s="140"/>
      <c r="D5" s="7"/>
      <c r="E5" s="30">
        <v>3</v>
      </c>
      <c r="F5" s="61"/>
      <c r="G5" s="52" t="s">
        <v>79</v>
      </c>
      <c r="I5" s="48" t="s">
        <v>77</v>
      </c>
      <c r="J5" s="44">
        <v>46313</v>
      </c>
      <c r="K5" s="40" t="str">
        <f t="shared" ref="K5" si="0">SUM($J5-$J4)&amp; "日"</f>
        <v>3日</v>
      </c>
    </row>
    <row r="6" spans="2:12" ht="19.5" thickBot="1">
      <c r="B6" s="176" t="s">
        <v>1</v>
      </c>
      <c r="C6" s="177"/>
      <c r="D6" s="9" t="s">
        <v>11</v>
      </c>
      <c r="E6" s="33">
        <f>SUM(E7)</f>
        <v>3</v>
      </c>
      <c r="F6" s="55">
        <f t="shared" ref="F6" si="1">SUM(F7)</f>
        <v>0</v>
      </c>
      <c r="G6" s="34" t="s">
        <v>79</v>
      </c>
      <c r="I6" s="49" t="s">
        <v>72</v>
      </c>
      <c r="J6" s="45">
        <v>46314</v>
      </c>
      <c r="K6" s="41" t="str">
        <f ca="1">SUM($J6-$J3)&amp; "日"</f>
        <v>5日</v>
      </c>
    </row>
    <row r="7" spans="2:12">
      <c r="B7" s="182" t="s">
        <v>71</v>
      </c>
      <c r="C7" s="183"/>
      <c r="D7" s="56"/>
      <c r="E7" s="58">
        <v>3</v>
      </c>
      <c r="F7" s="71"/>
      <c r="G7" s="59" t="s">
        <v>79</v>
      </c>
    </row>
    <row r="8" spans="2:12" ht="19.5" thickBot="1">
      <c r="B8" s="123" t="s">
        <v>67</v>
      </c>
      <c r="C8" s="140"/>
      <c r="D8" s="7"/>
      <c r="E8" s="30">
        <v>3</v>
      </c>
      <c r="F8" s="61"/>
      <c r="G8" s="52" t="s">
        <v>79</v>
      </c>
      <c r="J8" s="4"/>
      <c r="K8" s="50"/>
      <c r="L8" s="51"/>
    </row>
    <row r="9" spans="2:12" ht="19.5" thickBot="1">
      <c r="B9" s="176" t="s">
        <v>2</v>
      </c>
      <c r="C9" s="177"/>
      <c r="D9" s="9" t="s">
        <v>10</v>
      </c>
      <c r="E9" s="33">
        <f>SUM(E10:E11)</f>
        <v>5</v>
      </c>
      <c r="F9" s="55">
        <f>SUM(F10:F11)</f>
        <v>0</v>
      </c>
      <c r="G9" s="34" t="s">
        <v>79</v>
      </c>
    </row>
    <row r="10" spans="2:12">
      <c r="B10" s="172" t="s">
        <v>70</v>
      </c>
      <c r="C10" s="190"/>
      <c r="D10" s="8"/>
      <c r="E10" s="32">
        <v>3</v>
      </c>
      <c r="F10" s="42"/>
      <c r="G10" s="38" t="s">
        <v>79</v>
      </c>
    </row>
    <row r="11" spans="2:12" ht="19.5" thickBot="1">
      <c r="B11" s="170" t="s">
        <v>67</v>
      </c>
      <c r="C11" s="179"/>
      <c r="D11" s="7"/>
      <c r="E11" s="30">
        <v>2</v>
      </c>
      <c r="F11" s="61"/>
      <c r="G11" s="52" t="s">
        <v>79</v>
      </c>
    </row>
    <row r="12" spans="2:12" ht="19.5" thickBot="1">
      <c r="B12" s="176" t="s">
        <v>59</v>
      </c>
      <c r="C12" s="177"/>
      <c r="D12" s="9" t="s">
        <v>14</v>
      </c>
      <c r="E12" s="33">
        <f>SUM(E13)</f>
        <v>2</v>
      </c>
      <c r="F12" s="55">
        <f>SUM(F14+F20)</f>
        <v>0</v>
      </c>
      <c r="G12" s="34" t="s">
        <v>79</v>
      </c>
    </row>
    <row r="13" spans="2:12" ht="19.5" thickBot="1">
      <c r="B13" s="182" t="s">
        <v>70</v>
      </c>
      <c r="C13" s="183"/>
      <c r="D13" s="56"/>
      <c r="E13" s="58">
        <v>2</v>
      </c>
      <c r="F13" s="60"/>
      <c r="G13" s="59" t="s">
        <v>79</v>
      </c>
    </row>
    <row r="14" spans="2:12" ht="19.5" thickBot="1">
      <c r="B14" s="176" t="s">
        <v>4</v>
      </c>
      <c r="C14" s="177"/>
      <c r="D14" s="9" t="s">
        <v>95</v>
      </c>
      <c r="E14" s="33">
        <f>SUM(E15:E16)</f>
        <v>3</v>
      </c>
      <c r="F14" s="55">
        <f>SUM(F16:F16)</f>
        <v>0</v>
      </c>
      <c r="G14" s="34" t="s">
        <v>79</v>
      </c>
    </row>
    <row r="15" spans="2:12">
      <c r="B15" s="184" t="s">
        <v>66</v>
      </c>
      <c r="C15" s="185"/>
      <c r="E15" s="30">
        <v>2</v>
      </c>
      <c r="F15" s="52"/>
      <c r="G15" s="74" t="s">
        <v>79</v>
      </c>
    </row>
    <row r="16" spans="2:12" ht="19.5" thickBot="1">
      <c r="B16" s="170" t="s">
        <v>70</v>
      </c>
      <c r="C16" s="179"/>
      <c r="D16" s="7"/>
      <c r="E16" s="30">
        <v>1</v>
      </c>
      <c r="F16" s="61"/>
      <c r="G16" s="52" t="s">
        <v>79</v>
      </c>
    </row>
    <row r="17" spans="2:13" ht="19.5" thickBot="1">
      <c r="B17" s="176" t="s">
        <v>98</v>
      </c>
      <c r="C17" s="177"/>
      <c r="D17" s="9"/>
      <c r="E17" s="33">
        <f>SUM(E18:E19)</f>
        <v>3</v>
      </c>
      <c r="F17" s="55">
        <f>SUM(F18:F19)</f>
        <v>0</v>
      </c>
      <c r="G17" s="34" t="s">
        <v>79</v>
      </c>
    </row>
    <row r="18" spans="2:13">
      <c r="B18" s="180" t="s">
        <v>66</v>
      </c>
      <c r="C18" s="181"/>
      <c r="E18" s="29">
        <v>2</v>
      </c>
      <c r="F18" s="80"/>
      <c r="G18" s="74" t="s">
        <v>79</v>
      </c>
      <c r="H18" s="178"/>
      <c r="I18" s="178"/>
      <c r="J18" s="4"/>
      <c r="K18" s="51"/>
      <c r="L18" s="51"/>
      <c r="M18" s="4"/>
    </row>
    <row r="19" spans="2:13" ht="19.5" thickBot="1">
      <c r="B19" s="170" t="s">
        <v>70</v>
      </c>
      <c r="C19" s="179"/>
      <c r="D19" s="7"/>
      <c r="E19" s="30">
        <v>1</v>
      </c>
      <c r="F19" s="61"/>
      <c r="G19" s="6" t="s">
        <v>79</v>
      </c>
    </row>
    <row r="20" spans="2:13">
      <c r="B20" s="119" t="s">
        <v>5</v>
      </c>
      <c r="C20" s="162"/>
      <c r="D20" s="9"/>
      <c r="E20" s="33">
        <f>SUM(E21:E22)</f>
        <v>2</v>
      </c>
      <c r="F20" s="55">
        <f>SUM(F21:F22)</f>
        <v>0</v>
      </c>
      <c r="G20" s="34" t="s">
        <v>79</v>
      </c>
    </row>
    <row r="21" spans="2:13">
      <c r="B21" s="125" t="s">
        <v>67</v>
      </c>
      <c r="C21" s="129"/>
      <c r="D21" s="5"/>
      <c r="E21" s="29">
        <v>1</v>
      </c>
      <c r="F21" s="40"/>
      <c r="G21" s="80" t="s">
        <v>79</v>
      </c>
    </row>
    <row r="22" spans="2:13" ht="19.5" thickBot="1">
      <c r="B22" s="174" t="s">
        <v>70</v>
      </c>
      <c r="C22" s="175"/>
      <c r="D22" s="6"/>
      <c r="E22" s="31">
        <v>1</v>
      </c>
      <c r="F22" s="41"/>
      <c r="G22" s="52" t="s">
        <v>79</v>
      </c>
    </row>
    <row r="23" spans="2:13" ht="19.5" thickBot="1">
      <c r="B23" s="132" t="s">
        <v>34</v>
      </c>
      <c r="C23" s="155"/>
      <c r="D23" s="9"/>
      <c r="E23" s="33">
        <f>SUM(E3+E6+E9+E12+E14+E17+E20)</f>
        <v>21</v>
      </c>
      <c r="F23" s="33">
        <f>SUM(F3+F6+F9+F12+F14+F20)</f>
        <v>0</v>
      </c>
      <c r="G23" s="9"/>
    </row>
    <row r="25" spans="2:13">
      <c r="G25" s="4"/>
    </row>
    <row r="26" spans="2:13" ht="17.25" customHeight="1"/>
  </sheetData>
  <autoFilter ref="G2:G22" xr:uid="{BF80DA5A-1B69-4377-A99E-364B8197EABC}"/>
  <mergeCells count="23">
    <mergeCell ref="B12:C12"/>
    <mergeCell ref="B9:C9"/>
    <mergeCell ref="B6:C6"/>
    <mergeCell ref="B7:C7"/>
    <mergeCell ref="B2:C2"/>
    <mergeCell ref="B3:C3"/>
    <mergeCell ref="B4:C4"/>
    <mergeCell ref="B10:C10"/>
    <mergeCell ref="B11:C11"/>
    <mergeCell ref="B5:C5"/>
    <mergeCell ref="B8:C8"/>
    <mergeCell ref="B23:C23"/>
    <mergeCell ref="B13:C13"/>
    <mergeCell ref="B14:C14"/>
    <mergeCell ref="B16:C16"/>
    <mergeCell ref="B15:C15"/>
    <mergeCell ref="B21:C21"/>
    <mergeCell ref="B22:C22"/>
    <mergeCell ref="B17:C17"/>
    <mergeCell ref="H18:I18"/>
    <mergeCell ref="B19:C19"/>
    <mergeCell ref="B20:C20"/>
    <mergeCell ref="B18:C1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D10" sqref="D10"/>
    </sheetView>
  </sheetViews>
  <sheetFormatPr defaultRowHeight="18.75"/>
  <sheetData>
    <row r="1" spans="2:11" ht="36" thickBot="1">
      <c r="C1" s="191" t="s">
        <v>22</v>
      </c>
      <c r="D1" s="191"/>
      <c r="E1" s="191"/>
      <c r="F1" s="191"/>
      <c r="G1" s="191"/>
    </row>
    <row r="2" spans="2:11" ht="19.5" thickBot="1">
      <c r="B2" s="23" t="s">
        <v>15</v>
      </c>
      <c r="C2" s="24" t="s">
        <v>16</v>
      </c>
      <c r="D2" s="24" t="s">
        <v>17</v>
      </c>
      <c r="E2" s="24" t="s">
        <v>18</v>
      </c>
      <c r="F2" s="24" t="s">
        <v>19</v>
      </c>
      <c r="G2" s="24" t="s">
        <v>20</v>
      </c>
      <c r="H2" s="25" t="s">
        <v>21</v>
      </c>
      <c r="J2" t="s">
        <v>36</v>
      </c>
    </row>
    <row r="3" spans="2:11">
      <c r="B3" s="20"/>
      <c r="D3" s="21">
        <v>46266</v>
      </c>
      <c r="E3" s="21">
        <f>SUM(D3)+1</f>
        <v>46267</v>
      </c>
      <c r="F3" s="21">
        <f t="shared" ref="F3:H3" si="0">SUM(E3)+1</f>
        <v>46268</v>
      </c>
      <c r="G3" s="21">
        <f t="shared" si="0"/>
        <v>46269</v>
      </c>
      <c r="H3" s="22">
        <f t="shared" si="0"/>
        <v>46270</v>
      </c>
      <c r="J3" s="13"/>
      <c r="K3" t="s">
        <v>23</v>
      </c>
    </row>
    <row r="4" spans="2:11">
      <c r="B4" s="17">
        <f>SUM(H3)+1</f>
        <v>46271</v>
      </c>
      <c r="C4" s="16">
        <f>SUM(B4)+1</f>
        <v>46272</v>
      </c>
      <c r="D4" s="16">
        <f t="shared" ref="D4:H4" si="1">SUM(C4)+1</f>
        <v>46273</v>
      </c>
      <c r="E4" s="35">
        <f t="shared" si="1"/>
        <v>46274</v>
      </c>
      <c r="F4" s="35">
        <f t="shared" si="1"/>
        <v>46275</v>
      </c>
      <c r="G4" s="35">
        <f t="shared" si="1"/>
        <v>46276</v>
      </c>
      <c r="H4" s="36">
        <f t="shared" si="1"/>
        <v>46277</v>
      </c>
      <c r="J4" s="14"/>
      <c r="K4" t="s">
        <v>24</v>
      </c>
    </row>
    <row r="5" spans="2:11">
      <c r="B5" s="37">
        <f>SUM(H4)+1</f>
        <v>46278</v>
      </c>
      <c r="C5" s="35">
        <f>SUM(B5)+1</f>
        <v>46279</v>
      </c>
      <c r="D5" s="35">
        <f t="shared" ref="D5:H5" si="2">SUM(C5)+1</f>
        <v>46280</v>
      </c>
      <c r="E5" s="35">
        <f t="shared" si="2"/>
        <v>46281</v>
      </c>
      <c r="F5" s="35">
        <f t="shared" si="2"/>
        <v>46282</v>
      </c>
      <c r="G5" s="35">
        <f t="shared" si="2"/>
        <v>46283</v>
      </c>
      <c r="H5" s="36">
        <f t="shared" si="2"/>
        <v>46284</v>
      </c>
      <c r="J5" s="15"/>
      <c r="K5" t="s">
        <v>25</v>
      </c>
    </row>
    <row r="6" spans="2:11">
      <c r="B6" s="37">
        <f>SUM(H5)+1</f>
        <v>46285</v>
      </c>
      <c r="C6" s="35">
        <f>SUM(B6)+1</f>
        <v>46286</v>
      </c>
      <c r="D6" s="35">
        <f t="shared" ref="D6:H6" si="3">SUM(C6)+1</f>
        <v>46287</v>
      </c>
      <c r="E6" s="35">
        <f t="shared" si="3"/>
        <v>46288</v>
      </c>
      <c r="F6" s="35">
        <f t="shared" si="3"/>
        <v>46289</v>
      </c>
      <c r="G6" s="35">
        <f t="shared" si="3"/>
        <v>46290</v>
      </c>
      <c r="H6" s="36">
        <f t="shared" si="3"/>
        <v>46291</v>
      </c>
      <c r="J6" s="19"/>
      <c r="K6" t="s">
        <v>26</v>
      </c>
    </row>
    <row r="7" spans="2:11" ht="19.5" thickBot="1">
      <c r="B7" s="53">
        <f>SUM(H6)+1</f>
        <v>46292</v>
      </c>
      <c r="C7" s="54">
        <f>SUM(B7)+1</f>
        <v>46293</v>
      </c>
      <c r="D7" s="54">
        <f t="shared" ref="D7:E7" si="4">SUM(C7)+1</f>
        <v>46294</v>
      </c>
      <c r="E7" s="54">
        <f t="shared" si="4"/>
        <v>46295</v>
      </c>
      <c r="F7" s="1"/>
      <c r="G7" s="1"/>
      <c r="H7" s="2"/>
      <c r="J7" s="87"/>
      <c r="K7" t="s">
        <v>103</v>
      </c>
    </row>
    <row r="8" spans="2:11">
      <c r="B8" s="20"/>
      <c r="C8" s="3"/>
      <c r="D8" s="3"/>
      <c r="E8" s="3"/>
      <c r="F8" s="85">
        <f>SUM(E7)+1</f>
        <v>46296</v>
      </c>
      <c r="G8" s="85">
        <f>SUM(F8)+1</f>
        <v>46297</v>
      </c>
      <c r="H8" s="86">
        <f>SUM(G8)+1</f>
        <v>46298</v>
      </c>
    </row>
    <row r="9" spans="2:11">
      <c r="B9" s="37">
        <f>SUM(H8)+1</f>
        <v>46299</v>
      </c>
      <c r="C9" s="35">
        <f>SUM(B9)+1</f>
        <v>46300</v>
      </c>
      <c r="D9" s="35">
        <f t="shared" ref="D9:H9" si="5">SUM(C9)+1</f>
        <v>46301</v>
      </c>
      <c r="E9" s="35">
        <f t="shared" si="5"/>
        <v>46302</v>
      </c>
      <c r="F9" s="35">
        <f t="shared" si="5"/>
        <v>46303</v>
      </c>
      <c r="G9" s="35">
        <f t="shared" si="5"/>
        <v>46304</v>
      </c>
      <c r="H9" s="36">
        <f t="shared" si="5"/>
        <v>46305</v>
      </c>
    </row>
    <row r="10" spans="2:11">
      <c r="B10" s="37">
        <f t="shared" ref="B10:B12" si="6">SUM(H9)+1</f>
        <v>46306</v>
      </c>
      <c r="C10" s="35">
        <f>SUM(B10)+1</f>
        <v>46307</v>
      </c>
      <c r="D10" s="18">
        <f t="shared" ref="D10:G10" si="7">SUM(C10)+1</f>
        <v>46308</v>
      </c>
      <c r="E10" s="18">
        <f t="shared" si="7"/>
        <v>46309</v>
      </c>
      <c r="F10" s="18">
        <f t="shared" si="7"/>
        <v>46310</v>
      </c>
      <c r="G10" s="18">
        <f t="shared" si="7"/>
        <v>46311</v>
      </c>
      <c r="H10" s="75">
        <f>SUM(G10)+1</f>
        <v>46312</v>
      </c>
    </row>
    <row r="11" spans="2:11">
      <c r="B11" s="39">
        <f t="shared" si="6"/>
        <v>46313</v>
      </c>
      <c r="C11" s="28">
        <f>SUM(B11)+1</f>
        <v>46314</v>
      </c>
      <c r="D11" s="10">
        <f t="shared" ref="D11:F11" si="8">SUM(C11)+1</f>
        <v>46315</v>
      </c>
      <c r="E11" s="10">
        <f t="shared" si="8"/>
        <v>46316</v>
      </c>
      <c r="F11" s="10">
        <f t="shared" si="8"/>
        <v>46317</v>
      </c>
      <c r="G11" s="10">
        <f t="shared" ref="G11" si="9">SUM(F11)+1</f>
        <v>46318</v>
      </c>
      <c r="H11" s="26">
        <f>SUM(G11)+1</f>
        <v>46319</v>
      </c>
    </row>
    <row r="12" spans="2:11" ht="19.5" thickBot="1">
      <c r="B12" s="27">
        <f t="shared" si="6"/>
        <v>46320</v>
      </c>
      <c r="C12" s="11">
        <f>SUM(B12)+1</f>
        <v>46321</v>
      </c>
      <c r="D12" s="11">
        <f t="shared" ref="D12:H12" si="10">SUM(C12)+1</f>
        <v>46322</v>
      </c>
      <c r="E12" s="11">
        <f t="shared" si="10"/>
        <v>46323</v>
      </c>
      <c r="F12" s="11">
        <f t="shared" si="10"/>
        <v>46324</v>
      </c>
      <c r="G12" s="11">
        <f t="shared" si="10"/>
        <v>46325</v>
      </c>
      <c r="H12" s="12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野田　蒼磨</cp:lastModifiedBy>
  <dcterms:created xsi:type="dcterms:W3CDTF">2015-06-05T18:19:34Z</dcterms:created>
  <dcterms:modified xsi:type="dcterms:W3CDTF">2026-10-14T08:46:01Z</dcterms:modified>
</cp:coreProperties>
</file>